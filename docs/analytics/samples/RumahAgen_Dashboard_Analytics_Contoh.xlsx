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Pengguna" state="visible" r:id="rId5"/>
    <sheet sheetId="3" name="Marketplace" state="visible" r:id="rId6"/>
    <sheet sheetId="4" name="Organisasi" state="visible" r:id="rId7"/>
    <sheet sheetId="5" name="Learning" state="visible" r:id="rId8"/>
    <sheet sheetId="6" name="Komersial" state="visible" r:id="rId9"/>
    <sheet sheetId="7" name="Aktivitas" state="visible" r:id="rId10"/>
    <sheet sheetId="8" name="Risiko" state="visible" r:id="rId11"/>
    <sheet sheetId="9" name="Funnel_Kohort" state="visible" r:id="rId12"/>
    <sheet sheetId="10" name="Definisi" state="visible" r:id="rId13"/>
  </sheets>
  <calcPr calcId="171027"/>
</workbook>
</file>

<file path=xl/sharedStrings.xml><?xml version="1.0" encoding="utf-8"?>
<sst xmlns="http://schemas.openxmlformats.org/spreadsheetml/2006/main" count="284" uniqueCount="174">
  <si>
    <t>RumahAgen — Dashboard Analytics (Contoh Export)</t>
  </si>
  <si>
    <t>Rentang 27 Agu 2026 – 25 Sep 2026 (30 hari)  |  Pembanding 28 Jul 2026 – 26 Agu 2026  |  Data per 25 Sep 2026  |  Definisi: Metric Definitions v1.1</t>
  </si>
  <si>
    <t>DATA CONTOH untuk uji format export. Angka ilustrasi, bukan data nyata RumahAgen.</t>
  </si>
  <si>
    <t>Diekspor oleh: Superadmin (contoh). Export dicatat di audit log.</t>
  </si>
  <si>
    <t>Ringkasan</t>
  </si>
  <si>
    <t>Periode ini</t>
  </si>
  <si>
    <t>Periode sebelumnya</t>
  </si>
  <si>
    <t>Perubahan</t>
  </si>
  <si>
    <t>Agen Aktif</t>
  </si>
  <si>
    <t>Agen Baru</t>
  </si>
  <si>
    <t>Listing Baru (dipublikasikan)</t>
  </si>
  <si>
    <t>Lead Unik</t>
  </si>
  <si>
    <t>Nilai Transaksi Net (Rp)</t>
  </si>
  <si>
    <t>MRR (Rp)</t>
  </si>
  <si>
    <t>Kelompok metrik</t>
  </si>
  <si>
    <t>Pengguna</t>
  </si>
  <si>
    <t>Agen aktif, agen baru, total per role, dormant, suspended</t>
  </si>
  <si>
    <t>Marketplace</t>
  </si>
  <si>
    <t>Listing, lead, refresh, proyek, klaim, konversi, kesehatan marketplace</t>
  </si>
  <si>
    <t>Organisasi</t>
  </si>
  <si>
    <t>Organisasi baru dan aktif</t>
  </si>
  <si>
    <t>Learning</t>
  </si>
  <si>
    <t>Pendaftar, penyelesaian, poin, sertifikat</t>
  </si>
  <si>
    <t>Komersial</t>
  </si>
  <si>
    <t>GMV, net, langganan vs add-on, subscriber, MRR/ARR, refund rate, ARPU, churn</t>
  </si>
  <si>
    <t>Aktivitas</t>
  </si>
  <si>
    <t>DAU, WAU, MAU, stickiness, churn agen</t>
  </si>
  <si>
    <t>Risiko</t>
  </si>
  <si>
    <t>Moderasi, banding, rekonsiliasi, rasio suspended</t>
  </si>
  <si>
    <t>Funnel_Kohort</t>
  </si>
  <si>
    <t>Funnel aktivasi dan retensi kohort</t>
  </si>
  <si>
    <t>Legenda: biru = angka masukan contoh; hitam = rumus; hijau = tautan antar sheet.</t>
  </si>
  <si>
    <t>Pengguna &amp; Agen</t>
  </si>
  <si>
    <t>Rentang 27 Agu 2026 – 25 Sep 2026 (30 hari)  |  Pembanding 28 Jul 2026 – 26 Agu 2026</t>
  </si>
  <si>
    <t>Agen aktif = minimal 1 aktivitas bermakna (login, buat/ubah/refresh listing, terima lead) dalam 30 hari. Staf, akun uji, dan terhapus dikeluarkan.</t>
  </si>
  <si>
    <t>Ringkasan periode</t>
  </si>
  <si>
    <t>Metrik</t>
  </si>
  <si>
    <t>Agen Aktif (posisi akhir)</t>
  </si>
  <si>
    <t>Agen Baru (total)</t>
  </si>
  <si>
    <t>Data harian, periode ini</t>
  </si>
  <si>
    <t>Tanggal</t>
  </si>
  <si>
    <t>Data harian, periode pembanding</t>
  </si>
  <si>
    <t>Total pengguna per role (posisi akhir)</t>
  </si>
  <si>
    <t>Role</t>
  </si>
  <si>
    <t>Jumlah</t>
  </si>
  <si>
    <t>Porsi</t>
  </si>
  <si>
    <t>Agent</t>
  </si>
  <si>
    <t>Buyer</t>
  </si>
  <si>
    <t>Instructor</t>
  </si>
  <si>
    <t>Developer Partner</t>
  </si>
  <si>
    <t>Total pengguna (tanpa staf)</t>
  </si>
  <si>
    <t>Staf internal (dilaporkan terpisah)</t>
  </si>
  <si>
    <t>Agen dormant (&gt;90 hari)</t>
  </si>
  <si>
    <t>Agen suspended saat ini (stok, tanpa tren)</t>
  </si>
  <si>
    <t>Lead = klik CTA WhatsApp; lead unik didedup per pengunjung per listing per hari. Klik pemilik listing dan bot dikeluarkan.</t>
  </si>
  <si>
    <t>Listing Baru (dipublikasikan) (total)</t>
  </si>
  <si>
    <t>Lead Total (total)</t>
  </si>
  <si>
    <t>Lead Unik (total)</t>
  </si>
  <si>
    <t>Refresh Listing (total)</t>
  </si>
  <si>
    <t>Proyek Developer Baru (total)</t>
  </si>
  <si>
    <t>Klaim Proyek Disetujui (total)</t>
  </si>
  <si>
    <t>Konversi Pengunjung ke Lead (%) (posisi akhir)</t>
  </si>
  <si>
    <t>Lead Total</t>
  </si>
  <si>
    <t>Refresh Listing</t>
  </si>
  <si>
    <t>Proyek Developer Baru</t>
  </si>
  <si>
    <t>Klaim Proyek Disetujui</t>
  </si>
  <si>
    <t>Konversi Pengunjung ke Lead (%)</t>
  </si>
  <si>
    <t>Indikator kesehatan marketplace</t>
  </si>
  <si>
    <t>Listing aktif (porsi)</t>
  </si>
  <si>
    <t>Listing kedaluwarsa (porsi)</t>
  </si>
  <si>
    <t>Lead per listing aktif</t>
  </si>
  <si>
    <t>Waktu ke lead pertama, median (hari)</t>
  </si>
  <si>
    <t>Organisasi aktif = status active, tidak dalam penutupan, tidak suspended. Tren penutupan tidak ditampilkan.</t>
  </si>
  <si>
    <t>Organisasi Baru (total)</t>
  </si>
  <si>
    <t>Organisasi Aktif (posisi akhir)</t>
  </si>
  <si>
    <t>Organisasi Baru</t>
  </si>
  <si>
    <t>Organisasi Aktif</t>
  </si>
  <si>
    <t>Learning RumahAgen</t>
  </si>
  <si>
    <t>Menyelesaikan = completion qualifying. Completion rate dihitung per kohort pendaftaran.</t>
  </si>
  <si>
    <t>Pendaftar Learning (pendaftaran) (total)</t>
  </si>
  <si>
    <t>Pendaftar Learning (pengguna unik) (total)</t>
  </si>
  <si>
    <t>Menyelesaikan Learning (qualifying) (total)</t>
  </si>
  <si>
    <t>Learning Points Diterbitkan (total)</t>
  </si>
  <si>
    <t>Sertifikat Diterbitkan (total)</t>
  </si>
  <si>
    <t>Pendaftar Learning (pendaftaran)</t>
  </si>
  <si>
    <t>Pendaftar Learning (pengguna unik)</t>
  </si>
  <si>
    <t>Menyelesaikan Learning (qualifying)</t>
  </si>
  <si>
    <t>Learning Points Diterbitkan</t>
  </si>
  <si>
    <t>Sertifikat Diterbitkan</t>
  </si>
  <si>
    <t>Completion rate (kohort)</t>
  </si>
  <si>
    <t>Transaksi sukses = settlement/capture terverifikasi. Net = gross dikurangi refund dan chargeback. Tanggal transaksi = paid_at. Free membership tidak dihitung subscriber.</t>
  </si>
  <si>
    <t>GMV Gross (Rp) (total)</t>
  </si>
  <si>
    <t>Subscriber Aktif (posisi akhir)</t>
  </si>
  <si>
    <t>Pembeli Add-on (unik) (total)</t>
  </si>
  <si>
    <t>MRR (Rp) (posisi akhir)</t>
  </si>
  <si>
    <t>Nilai Transaksi Net (Rp) (total)</t>
  </si>
  <si>
    <t>Pendapatan Langganan (Rp) (total)</t>
  </si>
  <si>
    <t>Pendapatan Add-on (Rp) (total)</t>
  </si>
  <si>
    <t>GMV Gross (Rp)</t>
  </si>
  <si>
    <t>Subscriber Aktif</t>
  </si>
  <si>
    <t>Pembeli Add-on (unik)</t>
  </si>
  <si>
    <t>Pendapatan Langganan (Rp)</t>
  </si>
  <si>
    <t>Pendapatan Add-on (Rp)</t>
  </si>
  <si>
    <t>Indikator unit economics</t>
  </si>
  <si>
    <t>ARR (MRR x 12)</t>
  </si>
  <si>
    <t>Refund rate (refund + chargeback / gross)</t>
  </si>
  <si>
    <t>Porsi pendapatan add-on</t>
  </si>
  <si>
    <t>ARPU pengguna berbayar (Rp)</t>
  </si>
  <si>
    <t>ARPU semua agen aktif (Rp)</t>
  </si>
  <si>
    <t>Churn langganan (masa tenggang 7 hari)</t>
  </si>
  <si>
    <t>Aktivitas &amp; Retensi</t>
  </si>
  <si>
    <t>DAU/WAU/MAU dihitung dari agen aktif. Stickiness = rata-rata DAU / MAU akhir.</t>
  </si>
  <si>
    <t>DAU (posisi akhir)</t>
  </si>
  <si>
    <t>WAU (posisi akhir)</t>
  </si>
  <si>
    <t>MAU (posisi akhir)</t>
  </si>
  <si>
    <t>DAU</t>
  </si>
  <si>
    <t>WAU</t>
  </si>
  <si>
    <t>MAU</t>
  </si>
  <si>
    <t>Stickiness (rata-rata DAU / MAU akhir)</t>
  </si>
  <si>
    <t>Churn agen bulanan (aktif menjadi dormant &gt;90 hari)</t>
  </si>
  <si>
    <t>Kualitas &amp; Risiko</t>
  </si>
  <si>
    <t>Suspended hanya sebagai rasio saat ini; tren suspended dan penutupan organisasi tidak ditampilkan.</t>
  </si>
  <si>
    <t>Listing Ditolak Moderasi (total)</t>
  </si>
  <si>
    <t>Banding Penghargaan Masuk (total)</t>
  </si>
  <si>
    <t>Listing Ditolak Moderasi</t>
  </si>
  <si>
    <t>Banding Penghargaan Masuk</t>
  </si>
  <si>
    <t>Rasio agen suspended (saat ini)</t>
  </si>
  <si>
    <t>Kasus rekonsiliasi terbuka (saat ini)</t>
  </si>
  <si>
    <t>Banding menunggu keputusan (saat ini)</t>
  </si>
  <si>
    <t>Funnel Aktivasi &amp; Retensi Kohort</t>
  </si>
  <si>
    <t>Kohort daftar bulan lalu, jendela 30 hari sejak tanggal daftar. Retensi = agen aktif.</t>
  </si>
  <si>
    <t>Tahap</t>
  </si>
  <si>
    <t>Jumlah agen</t>
  </si>
  <si>
    <t>% dari pendaftar</t>
  </si>
  <si>
    <t>Daftar</t>
  </si>
  <si>
    <t>Terverifikasi</t>
  </si>
  <si>
    <t>Listing pertama dipublikasikan</t>
  </si>
  <si>
    <t>Lead pertama</t>
  </si>
  <si>
    <t>Pembayaran pertama</t>
  </si>
  <si>
    <t>Kohort</t>
  </si>
  <si>
    <t>M0</t>
  </si>
  <si>
    <t>M1</t>
  </si>
  <si>
    <t>M2</t>
  </si>
  <si>
    <t>M3</t>
  </si>
  <si>
    <t>M4</t>
  </si>
  <si>
    <t>M5</t>
  </si>
  <si>
    <t>Apr 2026</t>
  </si>
  <si>
    <t>Mei 2026</t>
  </si>
  <si>
    <t>Jun 2026</t>
  </si>
  <si>
    <t>Jul 2026</t>
  </si>
  <si>
    <t>Agu 2026</t>
  </si>
  <si>
    <t>Sep 2026</t>
  </si>
  <si>
    <t>Definisi Metrik (ringkas, v1.1)</t>
  </si>
  <si>
    <t>Sumber lengkap: docs/analytics/METRIC_DEFINITIONS_v1.md</t>
  </si>
  <si>
    <t>Istilah</t>
  </si>
  <si>
    <t>Definisi</t>
  </si>
  <si>
    <t>Zona waktu</t>
  </si>
  <si>
    <t>WIB; hari berganti 00:00 WIB; tanggal transaksi = paid_at</t>
  </si>
  <si>
    <t>Agen aktif</t>
  </si>
  <si>
    <t>Minimal 1 aktivitas bermakna dalam 30 hari; staf, akun uji, terhapus dikeluarkan</t>
  </si>
  <si>
    <t>Lead</t>
  </si>
  <si>
    <t>Klik CTA WhatsApp; lead unik didedup per pengunjung per listing per hari; klik pemilik dan bot dikeluarkan</t>
  </si>
  <si>
    <t>Transaksi sukses</t>
  </si>
  <si>
    <t>settlement/capture dan verification_state = verified</t>
  </si>
  <si>
    <t>Net</t>
  </si>
  <si>
    <t>Gross dikurangi refund dan chargeback</t>
  </si>
  <si>
    <t>MRR / ARR</t>
  </si>
  <si>
    <t>Langganan tahunan dibagi 12; ARR = MRR x 12; free membership tidak dihitung</t>
  </si>
  <si>
    <t>Churn langganan</t>
  </si>
  <si>
    <t>Berakhir tanpa perpanjangan setelah masa tenggang 7 hari</t>
  </si>
  <si>
    <t>Completion rate</t>
  </si>
  <si>
    <t>Per kohort pendaftaran</t>
  </si>
  <si>
    <t>Batasan</t>
  </si>
  <si>
    <t>Tren agen suspended dan organisasi ditutup tidak ditampilkan; take rate tidak dipakai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</si>
</sst>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+0.0%;-0.0%;0.0%"/>
    <numFmt numFmtId="165" formatCode="&quot;Rp&quot; #,##0"/>
    <numFmt numFmtId="166" formatCode="dd mmm yyyy"/>
    <numFmt numFmtId="167" formatCode="0.0%"/>
    <numFmt numFmtId="168" formatCode="0.0"/>
  </numFmts>
  <fonts count="11" x14ac:knownFonts="1">
    <font>
      <color theme="1"/>
      <family val="2"/>
      <scheme val="minor"/>
      <sz val="11"/>
      <name val="Calibri"/>
    </font>
    <font>
      <b/>
      <sz val="14"/>
      <name val="Arial"/>
    </font>
    <font>
      <color rgb="FF666666"/>
      <sz val="10"/>
      <name val="Arial"/>
    </font>
    <font>
      <b/>
      <color rgb="FFB45309"/>
      <sz val="10"/>
      <name val="Arial"/>
    </font>
    <font>
      <color rgb="FF666666"/>
      <sz val="9"/>
      <name val="Arial"/>
    </font>
    <font>
      <b/>
      <color rgb="FFFFFFFF"/>
      <sz val="10"/>
      <name val="Arial"/>
    </font>
    <font>
      <b/>
      <sz val="10"/>
      <name val="Arial"/>
    </font>
    <font>
      <color rgb="FF008000"/>
      <sz val="10"/>
      <name val="Arial"/>
    </font>
    <font>
      <b/>
      <sz val="11"/>
      <name val="Arial"/>
    </font>
    <font>
      <sz val="10"/>
      <name val="Arial"/>
    </font>
    <font>
      <color rgb="FF0000FF"/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6991FF"/>
      </patternFill>
    </fill>
    <fill>
      <patternFill patternType="solid">
        <fgColor rgb="FF95B1FF"/>
      </patternFill>
    </fill>
    <fill>
      <patternFill patternType="solid">
        <fgColor rgb="FFA2BBFF"/>
      </patternFill>
    </fill>
    <fill>
      <patternFill patternType="solid">
        <fgColor rgb="FFADC3FF"/>
      </patternFill>
    </fill>
    <fill>
      <patternFill patternType="solid">
        <fgColor rgb="FFB3C7FF"/>
      </patternFill>
    </fill>
    <fill>
      <patternFill patternType="solid">
        <fgColor rgb="FFB7CAFF"/>
      </patternFill>
    </fill>
    <fill>
      <patternFill patternType="solid">
        <fgColor rgb="FF90AEFF"/>
      </patternFill>
    </fill>
    <fill>
      <patternFill patternType="solid">
        <fgColor rgb="FF9FB9FF"/>
      </patternFill>
    </fill>
    <fill>
      <patternFill patternType="solid">
        <fgColor rgb="FFAAC0FF"/>
      </patternFill>
    </fill>
    <fill>
      <patternFill patternType="solid">
        <fgColor rgb="FFB1C6FF"/>
      </patternFill>
    </fill>
    <fill>
      <patternFill patternType="solid">
        <fgColor rgb="FF8DABFF"/>
      </patternFill>
    </fill>
    <fill>
      <patternFill patternType="solid">
        <fgColor rgb="FF9CB6FF"/>
      </patternFill>
    </fill>
    <fill>
      <patternFill patternType="solid">
        <fgColor rgb="FFA7BEFF"/>
      </patternFill>
    </fill>
    <fill>
      <patternFill patternType="solid">
        <fgColor rgb="FF8AA9FF"/>
      </patternFill>
    </fill>
    <fill>
      <patternFill patternType="solid">
        <fgColor rgb="FF99B4FF"/>
      </patternFill>
    </fill>
    <fill>
      <patternFill patternType="solid">
        <fgColor rgb="FF87A7FF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0" fontId="8" fillId="0" borderId="0" xfId="0" applyFont="1"/>
    <xf numFmtId="0" fontId="6" fillId="0" borderId="0" xfId="0" applyFont="1"/>
    <xf numFmtId="0" fontId="9" fillId="0" borderId="0" xfId="0" applyFont="1"/>
    <xf numFmtId="0" fontId="9" fillId="0" borderId="1" xfId="0" applyFont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6" fontId="9" fillId="0" borderId="0" xfId="0" applyNumberFormat="1" applyFont="1"/>
    <xf numFmtId="3" fontId="10" fillId="0" borderId="0" xfId="0" applyNumberFormat="1" applyFont="1"/>
    <xf numFmtId="167" fontId="9" fillId="0" borderId="0" xfId="0" applyNumberFormat="1" applyFont="1"/>
    <xf numFmtId="3" fontId="9" fillId="0" borderId="0" xfId="0" applyNumberFormat="1" applyFont="1"/>
    <xf numFmtId="0" fontId="10" fillId="0" borderId="0" xfId="0" applyFont="1"/>
    <xf numFmtId="2" fontId="9" fillId="0" borderId="1" xfId="0" applyNumberFormat="1" applyFont="1" applyBorder="1"/>
    <xf numFmtId="2" fontId="10" fillId="0" borderId="0" xfId="0" applyNumberFormat="1" applyFont="1"/>
    <xf numFmtId="9" fontId="10" fillId="0" borderId="0" xfId="0" applyNumberFormat="1" applyFont="1"/>
    <xf numFmtId="168" fontId="10" fillId="0" borderId="0" xfId="0" applyNumberFormat="1" applyFont="1"/>
    <xf numFmtId="167" fontId="10" fillId="0" borderId="0" xfId="0" applyNumberFormat="1" applyFont="1"/>
    <xf numFmtId="165" fontId="9" fillId="0" borderId="1" xfId="0" applyNumberFormat="1" applyFont="1" applyBorder="1"/>
    <xf numFmtId="165" fontId="10" fillId="0" borderId="0" xfId="0" applyNumberFormat="1" applyFont="1"/>
    <xf numFmtId="165" fontId="9" fillId="0" borderId="0" xfId="0" applyNumberFormat="1" applyFont="1"/>
    <xf numFmtId="167" fontId="7" fillId="0" borderId="0" xfId="0" applyNumberFormat="1" applyFont="1"/>
    <xf numFmtId="9" fontId="10" fillId="3" borderId="0" xfId="0" applyNumberFormat="1" applyFont="1" applyFill="1"/>
    <xf numFmtId="9" fontId="10" fillId="4" borderId="0" xfId="0" applyNumberFormat="1" applyFont="1" applyFill="1"/>
    <xf numFmtId="9" fontId="10" fillId="5" borderId="0" xfId="0" applyNumberFormat="1" applyFont="1" applyFill="1"/>
    <xf numFmtId="9" fontId="10" fillId="6" borderId="0" xfId="0" applyNumberFormat="1" applyFont="1" applyFill="1"/>
    <xf numFmtId="9" fontId="10" fillId="7" borderId="0" xfId="0" applyNumberFormat="1" applyFont="1" applyFill="1"/>
    <xf numFmtId="9" fontId="10" fillId="8" borderId="0" xfId="0" applyNumberFormat="1" applyFont="1" applyFill="1"/>
    <xf numFmtId="9" fontId="10" fillId="9" borderId="0" xfId="0" applyNumberFormat="1" applyFont="1" applyFill="1"/>
    <xf numFmtId="9" fontId="10" fillId="10" borderId="0" xfId="0" applyNumberFormat="1" applyFont="1" applyFill="1"/>
    <xf numFmtId="9" fontId="10" fillId="11" borderId="0" xfId="0" applyNumberFormat="1" applyFont="1" applyFill="1"/>
    <xf numFmtId="9" fontId="10" fillId="12" borderId="0" xfId="0" applyNumberFormat="1" applyFont="1" applyFill="1"/>
    <xf numFmtId="9" fontId="10" fillId="13" borderId="0" xfId="0" applyNumberFormat="1" applyFont="1" applyFill="1"/>
    <xf numFmtId="9" fontId="10" fillId="14" borderId="0" xfId="0" applyNumberFormat="1" applyFont="1" applyFill="1"/>
    <xf numFmtId="9" fontId="10" fillId="15" borderId="0" xfId="0" applyNumberFormat="1" applyFont="1" applyFill="1"/>
    <xf numFmtId="9" fontId="10" fillId="16" borderId="0" xfId="0" applyNumberFormat="1" applyFont="1" applyFill="1"/>
    <xf numFmtId="9" fontId="10" fillId="17" borderId="0" xfId="0" applyNumberFormat="1" applyFont="1" applyFill="1"/>
    <xf numFmtId="9" fontId="10" fillId="18" borderId="0" xfId="0" applyNumberFormat="1" applyFont="1" applyFill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6" spans="1:4" x14ac:dyDescent="0.25">
      <c r="A6" s="5" t="s">
        <v>4</v>
      </c>
      <c r="B6" s="5" t="s">
        <v>5</v>
      </c>
      <c r="C6" s="5" t="s">
        <v>6</v>
      </c>
      <c r="D6" s="5" t="s">
        <v>7</v>
      </c>
    </row>
    <row r="7" spans="1:4" x14ac:dyDescent="0.25">
      <c r="A7" s="6" t="s">
        <v>8</v>
      </c>
      <c r="B7" s="7">
        <f>Pengguna!B8</f>
        <v>1838</v>
      </c>
      <c r="C7" s="7">
        <f>Pengguna!C8</f>
        <v>1720</v>
      </c>
      <c r="D7" s="8">
        <f>Pengguna!D8</f>
        <v>0.06860465116279069</v>
      </c>
    </row>
    <row r="8" spans="1:4" x14ac:dyDescent="0.25">
      <c r="A8" s="6" t="s">
        <v>9</v>
      </c>
      <c r="B8" s="7">
        <f>Pengguna!B9</f>
        <v>473</v>
      </c>
      <c r="C8" s="7">
        <f>Pengguna!C9</f>
        <v>398</v>
      </c>
      <c r="D8" s="8">
        <f>Pengguna!D9</f>
        <v>0.18844221105527637</v>
      </c>
    </row>
    <row r="9" spans="1:4" x14ac:dyDescent="0.25">
      <c r="A9" s="6" t="s">
        <v>10</v>
      </c>
      <c r="B9" s="7">
        <f>Marketplace!B8</f>
        <v>1234</v>
      </c>
      <c r="C9" s="7">
        <f>Marketplace!C8</f>
        <v>1065</v>
      </c>
      <c r="D9" s="8">
        <f>Marketplace!D8</f>
        <v>0.1586854460093896</v>
      </c>
    </row>
    <row r="10" spans="1:4" x14ac:dyDescent="0.25">
      <c r="A10" s="6" t="s">
        <v>11</v>
      </c>
      <c r="B10" s="7">
        <f>Marketplace!B10</f>
        <v>3003</v>
      </c>
      <c r="C10" s="7">
        <f>Marketplace!C10</f>
        <v>2481</v>
      </c>
      <c r="D10" s="8">
        <f>Marketplace!D10</f>
        <v>0.21039903264812576</v>
      </c>
    </row>
    <row r="11" spans="1:4" x14ac:dyDescent="0.25">
      <c r="A11" s="6" t="s">
        <v>12</v>
      </c>
      <c r="B11" s="9">
        <f>Komersial!B12</f>
        <v>378437108</v>
      </c>
      <c r="C11" s="9">
        <f>Komersial!C12</f>
        <v>314023944</v>
      </c>
      <c r="D11" s="8">
        <f>Komersial!D12</f>
        <v>0.20512182344923358</v>
      </c>
    </row>
    <row r="12" spans="1:4" x14ac:dyDescent="0.25">
      <c r="A12" s="6" t="s">
        <v>13</v>
      </c>
      <c r="B12" s="9">
        <f>Komersial!B11</f>
        <v>140071198</v>
      </c>
      <c r="C12" s="9">
        <f>Komersial!C11</f>
        <v>127134020</v>
      </c>
      <c r="D12" s="8">
        <f>Komersial!D11</f>
        <v>0.1017601582959462</v>
      </c>
    </row>
    <row r="14" spans="1:1" x14ac:dyDescent="0.25">
      <c r="A14" s="10" t="s">
        <v>14</v>
      </c>
    </row>
    <row r="15" spans="1:2" x14ac:dyDescent="0.25">
      <c r="A15" s="11" t="s">
        <v>15</v>
      </c>
      <c r="B15" s="12" t="s">
        <v>16</v>
      </c>
    </row>
    <row r="16" spans="1:2" x14ac:dyDescent="0.25">
      <c r="A16" s="11" t="s">
        <v>17</v>
      </c>
      <c r="B16" s="12" t="s">
        <v>18</v>
      </c>
    </row>
    <row r="17" spans="1:2" x14ac:dyDescent="0.25">
      <c r="A17" s="11" t="s">
        <v>19</v>
      </c>
      <c r="B17" s="12" t="s">
        <v>20</v>
      </c>
    </row>
    <row r="18" spans="1:2" x14ac:dyDescent="0.25">
      <c r="A18" s="11" t="s">
        <v>21</v>
      </c>
      <c r="B18" s="12" t="s">
        <v>22</v>
      </c>
    </row>
    <row r="19" spans="1:2" x14ac:dyDescent="0.25">
      <c r="A19" s="11" t="s">
        <v>23</v>
      </c>
      <c r="B19" s="12" t="s">
        <v>24</v>
      </c>
    </row>
    <row r="20" spans="1:2" x14ac:dyDescent="0.25">
      <c r="A20" s="11" t="s">
        <v>25</v>
      </c>
      <c r="B20" s="12" t="s">
        <v>26</v>
      </c>
    </row>
    <row r="21" spans="1:2" x14ac:dyDescent="0.25">
      <c r="A21" s="11" t="s">
        <v>27</v>
      </c>
      <c r="B21" s="12" t="s">
        <v>28</v>
      </c>
    </row>
    <row r="22" spans="1:2" x14ac:dyDescent="0.25">
      <c r="A22" s="11" t="s">
        <v>29</v>
      </c>
      <c r="B22" s="12" t="s">
        <v>30</v>
      </c>
    </row>
    <row r="24" spans="1:1" x14ac:dyDescent="0.25">
      <c r="A24" s="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workbookViewId="0" showGridLines="0">
      <pane xSplit="1" ySplit="7" topLeftCell="B8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3" width="20" customWidth="1"/>
  </cols>
  <sheetData>
    <row r="1" spans="1:1" x14ac:dyDescent="0.25">
      <c r="A1" s="1" t="s">
        <v>32</v>
      </c>
    </row>
    <row r="2" spans="1:1" x14ac:dyDescent="0.25">
      <c r="A2" s="2" t="s">
        <v>33</v>
      </c>
    </row>
    <row r="3" spans="1:1" x14ac:dyDescent="0.25">
      <c r="A3" s="3" t="s">
        <v>2</v>
      </c>
    </row>
    <row r="4" spans="1:1" x14ac:dyDescent="0.25">
      <c r="A4" s="4" t="s">
        <v>34</v>
      </c>
    </row>
    <row r="6" spans="1:1" x14ac:dyDescent="0.25">
      <c r="A6" s="10" t="s">
        <v>35</v>
      </c>
    </row>
    <row r="7" spans="1:4" x14ac:dyDescent="0.25">
      <c r="A7" s="5" t="s">
        <v>36</v>
      </c>
      <c r="B7" s="5" t="s">
        <v>5</v>
      </c>
      <c r="C7" s="5" t="s">
        <v>6</v>
      </c>
      <c r="D7" s="5" t="s">
        <v>7</v>
      </c>
    </row>
    <row r="8" spans="1:4" x14ac:dyDescent="0.25">
      <c r="A8" s="13" t="s">
        <v>37</v>
      </c>
      <c r="B8" s="14">
        <f>B43</f>
        <v>1838</v>
      </c>
      <c r="C8" s="14">
        <f>B76</f>
        <v>1720</v>
      </c>
      <c r="D8" s="15">
        <f>IF(C8=0,"",B8/C8-1)</f>
        <v>0.06860465116279069</v>
      </c>
    </row>
    <row r="9" spans="1:4" x14ac:dyDescent="0.25">
      <c r="A9" s="13" t="s">
        <v>38</v>
      </c>
      <c r="B9" s="14">
        <f>SUM(C14:C43)</f>
        <v>473</v>
      </c>
      <c r="C9" s="14">
        <f>SUM(C47:C76)</f>
        <v>398</v>
      </c>
      <c r="D9" s="15">
        <f>IF(C9=0,"",B9/C9-1)</f>
        <v>0.18844221105527637</v>
      </c>
    </row>
    <row r="12" spans="1:1" x14ac:dyDescent="0.25">
      <c r="A12" s="10" t="s">
        <v>39</v>
      </c>
    </row>
    <row r="13" spans="1:3" x14ac:dyDescent="0.25">
      <c r="A13" s="5" t="s">
        <v>40</v>
      </c>
      <c r="B13" s="5" t="s">
        <v>8</v>
      </c>
      <c r="C13" s="5" t="s">
        <v>9</v>
      </c>
    </row>
    <row r="14" spans="1:3" x14ac:dyDescent="0.25">
      <c r="A14" s="16">
        <v>46261</v>
      </c>
      <c r="B14" s="17">
        <v>1716</v>
      </c>
      <c r="C14" s="17">
        <v>15</v>
      </c>
    </row>
    <row r="15" spans="1:3" x14ac:dyDescent="0.25">
      <c r="A15" s="16">
        <v>46262</v>
      </c>
      <c r="B15" s="17">
        <v>1727</v>
      </c>
      <c r="C15" s="17">
        <v>14</v>
      </c>
    </row>
    <row r="16" spans="1:3" x14ac:dyDescent="0.25">
      <c r="A16" s="16">
        <v>46263</v>
      </c>
      <c r="B16" s="17">
        <v>1729</v>
      </c>
      <c r="C16" s="17">
        <v>12</v>
      </c>
    </row>
    <row r="17" spans="1:3" x14ac:dyDescent="0.25">
      <c r="A17" s="16">
        <v>46264</v>
      </c>
      <c r="B17" s="17">
        <v>1732</v>
      </c>
      <c r="C17" s="17">
        <v>11</v>
      </c>
    </row>
    <row r="18" spans="1:3" x14ac:dyDescent="0.25">
      <c r="A18" s="16">
        <v>46265</v>
      </c>
      <c r="B18" s="17">
        <v>1734</v>
      </c>
      <c r="C18" s="17">
        <v>14</v>
      </c>
    </row>
    <row r="19" spans="1:3" x14ac:dyDescent="0.25">
      <c r="A19" s="16">
        <v>46266</v>
      </c>
      <c r="B19" s="17">
        <v>1745</v>
      </c>
      <c r="C19" s="17">
        <v>15</v>
      </c>
    </row>
    <row r="20" spans="1:3" x14ac:dyDescent="0.25">
      <c r="A20" s="16">
        <v>46267</v>
      </c>
      <c r="B20" s="17">
        <v>1748</v>
      </c>
      <c r="C20" s="17">
        <v>17</v>
      </c>
    </row>
    <row r="21" spans="1:3" x14ac:dyDescent="0.25">
      <c r="A21" s="16">
        <v>46268</v>
      </c>
      <c r="B21" s="17">
        <v>1749</v>
      </c>
      <c r="C21" s="17">
        <v>17</v>
      </c>
    </row>
    <row r="22" spans="1:3" x14ac:dyDescent="0.25">
      <c r="A22" s="16">
        <v>46269</v>
      </c>
      <c r="B22" s="17">
        <v>1754</v>
      </c>
      <c r="C22" s="17">
        <v>16</v>
      </c>
    </row>
    <row r="23" spans="1:3" x14ac:dyDescent="0.25">
      <c r="A23" s="16">
        <v>46270</v>
      </c>
      <c r="B23" s="17">
        <v>1758</v>
      </c>
      <c r="C23" s="17">
        <v>13</v>
      </c>
    </row>
    <row r="24" spans="1:3" x14ac:dyDescent="0.25">
      <c r="A24" s="16">
        <v>46271</v>
      </c>
      <c r="B24" s="17">
        <v>1756</v>
      </c>
      <c r="C24" s="17">
        <v>12</v>
      </c>
    </row>
    <row r="25" spans="1:3" x14ac:dyDescent="0.25">
      <c r="A25" s="16">
        <v>46272</v>
      </c>
      <c r="B25" s="17">
        <v>1767</v>
      </c>
      <c r="C25" s="17">
        <v>14</v>
      </c>
    </row>
    <row r="26" spans="1:3" x14ac:dyDescent="0.25">
      <c r="A26" s="16">
        <v>46273</v>
      </c>
      <c r="B26" s="17">
        <v>1772</v>
      </c>
      <c r="C26" s="17">
        <v>17</v>
      </c>
    </row>
    <row r="27" spans="1:3" x14ac:dyDescent="0.25">
      <c r="A27" s="16">
        <v>46274</v>
      </c>
      <c r="B27" s="17">
        <v>1773</v>
      </c>
      <c r="C27" s="17">
        <v>17</v>
      </c>
    </row>
    <row r="28" spans="1:3" x14ac:dyDescent="0.25">
      <c r="A28" s="16">
        <v>46275</v>
      </c>
      <c r="B28" s="17">
        <v>1783</v>
      </c>
      <c r="C28" s="17">
        <v>19</v>
      </c>
    </row>
    <row r="29" spans="1:3" x14ac:dyDescent="0.25">
      <c r="A29" s="16">
        <v>46276</v>
      </c>
      <c r="B29" s="17">
        <v>1781</v>
      </c>
      <c r="C29" s="17">
        <v>17</v>
      </c>
    </row>
    <row r="30" spans="1:3" x14ac:dyDescent="0.25">
      <c r="A30" s="16">
        <v>46277</v>
      </c>
      <c r="B30" s="17">
        <v>1786</v>
      </c>
      <c r="C30" s="17">
        <v>15</v>
      </c>
    </row>
    <row r="31" spans="1:3" x14ac:dyDescent="0.25">
      <c r="A31" s="16">
        <v>46278</v>
      </c>
      <c r="B31" s="17">
        <v>1788</v>
      </c>
      <c r="C31" s="17">
        <v>13</v>
      </c>
    </row>
    <row r="32" spans="1:3" x14ac:dyDescent="0.25">
      <c r="A32" s="16">
        <v>46279</v>
      </c>
      <c r="B32" s="17">
        <v>1802</v>
      </c>
      <c r="C32" s="17">
        <v>15</v>
      </c>
    </row>
    <row r="33" spans="1:3" x14ac:dyDescent="0.25">
      <c r="A33" s="16">
        <v>46280</v>
      </c>
      <c r="B33" s="17">
        <v>1802</v>
      </c>
      <c r="C33" s="17">
        <v>17</v>
      </c>
    </row>
    <row r="34" spans="1:3" x14ac:dyDescent="0.25">
      <c r="A34" s="16">
        <v>46281</v>
      </c>
      <c r="B34" s="17">
        <v>1809</v>
      </c>
      <c r="C34" s="17">
        <v>19</v>
      </c>
    </row>
    <row r="35" spans="1:3" x14ac:dyDescent="0.25">
      <c r="A35" s="16">
        <v>46282</v>
      </c>
      <c r="B35" s="17">
        <v>1813</v>
      </c>
      <c r="C35" s="17">
        <v>19</v>
      </c>
    </row>
    <row r="36" spans="1:3" x14ac:dyDescent="0.25">
      <c r="A36" s="16">
        <v>46283</v>
      </c>
      <c r="B36" s="17">
        <v>1807</v>
      </c>
      <c r="C36" s="17">
        <v>16</v>
      </c>
    </row>
    <row r="37" spans="1:3" x14ac:dyDescent="0.25">
      <c r="A37" s="16">
        <v>46284</v>
      </c>
      <c r="B37" s="17">
        <v>1818</v>
      </c>
      <c r="C37" s="17">
        <v>14</v>
      </c>
    </row>
    <row r="38" spans="1:3" x14ac:dyDescent="0.25">
      <c r="A38" s="16">
        <v>46285</v>
      </c>
      <c r="B38" s="17">
        <v>1826</v>
      </c>
      <c r="C38" s="17">
        <v>14</v>
      </c>
    </row>
    <row r="39" spans="1:3" x14ac:dyDescent="0.25">
      <c r="A39" s="16">
        <v>46286</v>
      </c>
      <c r="B39" s="17">
        <v>1822</v>
      </c>
      <c r="C39" s="17">
        <v>16</v>
      </c>
    </row>
    <row r="40" spans="1:3" x14ac:dyDescent="0.25">
      <c r="A40" s="16">
        <v>46287</v>
      </c>
      <c r="B40" s="17">
        <v>1833</v>
      </c>
      <c r="C40" s="17">
        <v>18</v>
      </c>
    </row>
    <row r="41" spans="1:3" x14ac:dyDescent="0.25">
      <c r="A41" s="16">
        <v>46288</v>
      </c>
      <c r="B41" s="17">
        <v>1829</v>
      </c>
      <c r="C41" s="17">
        <v>19</v>
      </c>
    </row>
    <row r="42" spans="1:3" x14ac:dyDescent="0.25">
      <c r="A42" s="16">
        <v>46289</v>
      </c>
      <c r="B42" s="17">
        <v>1843</v>
      </c>
      <c r="C42" s="17">
        <v>20</v>
      </c>
    </row>
    <row r="43" spans="1:3" x14ac:dyDescent="0.25">
      <c r="A43" s="16">
        <v>46290</v>
      </c>
      <c r="B43" s="17">
        <v>1838</v>
      </c>
      <c r="C43" s="17">
        <v>18</v>
      </c>
    </row>
    <row r="45" spans="1:1" x14ac:dyDescent="0.25">
      <c r="A45" s="10" t="s">
        <v>41</v>
      </c>
    </row>
    <row r="46" spans="1:3" x14ac:dyDescent="0.25">
      <c r="A46" s="5" t="s">
        <v>40</v>
      </c>
      <c r="B46" s="5" t="s">
        <v>8</v>
      </c>
      <c r="C46" s="5" t="s">
        <v>9</v>
      </c>
    </row>
    <row r="47" spans="1:3" x14ac:dyDescent="0.25">
      <c r="A47" s="16">
        <v>46231</v>
      </c>
      <c r="B47" s="17">
        <v>1592</v>
      </c>
      <c r="C47" s="17">
        <v>14</v>
      </c>
    </row>
    <row r="48" spans="1:3" x14ac:dyDescent="0.25">
      <c r="A48" s="16">
        <v>46232</v>
      </c>
      <c r="B48" s="17">
        <v>1604</v>
      </c>
      <c r="C48" s="17">
        <v>11</v>
      </c>
    </row>
    <row r="49" spans="1:3" x14ac:dyDescent="0.25">
      <c r="A49" s="16">
        <v>46233</v>
      </c>
      <c r="B49" s="17">
        <v>1599</v>
      </c>
      <c r="C49" s="17">
        <v>10</v>
      </c>
    </row>
    <row r="50" spans="1:3" x14ac:dyDescent="0.25">
      <c r="A50" s="16">
        <v>46234</v>
      </c>
      <c r="B50" s="17">
        <v>1603</v>
      </c>
      <c r="C50" s="17">
        <v>11</v>
      </c>
    </row>
    <row r="51" spans="1:3" x14ac:dyDescent="0.25">
      <c r="A51" s="16">
        <v>46235</v>
      </c>
      <c r="B51" s="17">
        <v>1605</v>
      </c>
      <c r="C51" s="17">
        <v>12</v>
      </c>
    </row>
    <row r="52" spans="1:3" x14ac:dyDescent="0.25">
      <c r="A52" s="16">
        <v>46236</v>
      </c>
      <c r="B52" s="17">
        <v>1610</v>
      </c>
      <c r="C52" s="17">
        <v>15</v>
      </c>
    </row>
    <row r="53" spans="1:3" x14ac:dyDescent="0.25">
      <c r="A53" s="16">
        <v>46237</v>
      </c>
      <c r="B53" s="17">
        <v>1620</v>
      </c>
      <c r="C53" s="17">
        <v>15</v>
      </c>
    </row>
    <row r="54" spans="1:3" x14ac:dyDescent="0.25">
      <c r="A54" s="16">
        <v>46238</v>
      </c>
      <c r="B54" s="17">
        <v>1628</v>
      </c>
      <c r="C54" s="17">
        <v>14</v>
      </c>
    </row>
    <row r="55" spans="1:3" x14ac:dyDescent="0.25">
      <c r="A55" s="16">
        <v>46239</v>
      </c>
      <c r="B55" s="17">
        <v>1628</v>
      </c>
      <c r="C55" s="17">
        <v>12</v>
      </c>
    </row>
    <row r="56" spans="1:3" x14ac:dyDescent="0.25">
      <c r="A56" s="16">
        <v>46240</v>
      </c>
      <c r="B56" s="17">
        <v>1626</v>
      </c>
      <c r="C56" s="17">
        <v>10</v>
      </c>
    </row>
    <row r="57" spans="1:3" x14ac:dyDescent="0.25">
      <c r="A57" s="16">
        <v>46241</v>
      </c>
      <c r="B57" s="17">
        <v>1637</v>
      </c>
      <c r="C57" s="17">
        <v>12</v>
      </c>
    </row>
    <row r="58" spans="1:3" x14ac:dyDescent="0.25">
      <c r="A58" s="16">
        <v>46242</v>
      </c>
      <c r="B58" s="17">
        <v>1637</v>
      </c>
      <c r="C58" s="17">
        <v>13</v>
      </c>
    </row>
    <row r="59" spans="1:3" x14ac:dyDescent="0.25">
      <c r="A59" s="16">
        <v>46243</v>
      </c>
      <c r="B59" s="17">
        <v>1644</v>
      </c>
      <c r="C59" s="17">
        <v>16</v>
      </c>
    </row>
    <row r="60" spans="1:3" x14ac:dyDescent="0.25">
      <c r="A60" s="16">
        <v>46244</v>
      </c>
      <c r="B60" s="17">
        <v>1644</v>
      </c>
      <c r="C60" s="17">
        <v>16</v>
      </c>
    </row>
    <row r="61" spans="1:3" x14ac:dyDescent="0.25">
      <c r="A61" s="16">
        <v>46245</v>
      </c>
      <c r="B61" s="17">
        <v>1649</v>
      </c>
      <c r="C61" s="17">
        <v>15</v>
      </c>
    </row>
    <row r="62" spans="1:3" x14ac:dyDescent="0.25">
      <c r="A62" s="16">
        <v>46246</v>
      </c>
      <c r="B62" s="17">
        <v>1659</v>
      </c>
      <c r="C62" s="17">
        <v>12</v>
      </c>
    </row>
    <row r="63" spans="1:3" x14ac:dyDescent="0.25">
      <c r="A63" s="16">
        <v>46247</v>
      </c>
      <c r="B63" s="17">
        <v>1661</v>
      </c>
      <c r="C63" s="17">
        <v>11</v>
      </c>
    </row>
    <row r="64" spans="1:3" x14ac:dyDescent="0.25">
      <c r="A64" s="16">
        <v>46248</v>
      </c>
      <c r="B64" s="17">
        <v>1672</v>
      </c>
      <c r="C64" s="17">
        <v>11</v>
      </c>
    </row>
    <row r="65" spans="1:3" x14ac:dyDescent="0.25">
      <c r="A65" s="16">
        <v>46249</v>
      </c>
      <c r="B65" s="17">
        <v>1673</v>
      </c>
      <c r="C65" s="17">
        <v>13</v>
      </c>
    </row>
    <row r="66" spans="1:3" x14ac:dyDescent="0.25">
      <c r="A66" s="16">
        <v>46250</v>
      </c>
      <c r="B66" s="17">
        <v>1678</v>
      </c>
      <c r="C66" s="17">
        <v>16</v>
      </c>
    </row>
    <row r="67" spans="1:3" x14ac:dyDescent="0.25">
      <c r="A67" s="16">
        <v>46251</v>
      </c>
      <c r="B67" s="17">
        <v>1684</v>
      </c>
      <c r="C67" s="17">
        <v>15</v>
      </c>
    </row>
    <row r="68" spans="1:3" x14ac:dyDescent="0.25">
      <c r="A68" s="16">
        <v>46252</v>
      </c>
      <c r="B68" s="17">
        <v>1679</v>
      </c>
      <c r="C68" s="17">
        <v>14</v>
      </c>
    </row>
    <row r="69" spans="1:3" x14ac:dyDescent="0.25">
      <c r="A69" s="16">
        <v>46253</v>
      </c>
      <c r="B69" s="17">
        <v>1688</v>
      </c>
      <c r="C69" s="17">
        <v>13</v>
      </c>
    </row>
    <row r="70" spans="1:3" x14ac:dyDescent="0.25">
      <c r="A70" s="16">
        <v>46254</v>
      </c>
      <c r="B70" s="17">
        <v>1696</v>
      </c>
      <c r="C70" s="17">
        <v>12</v>
      </c>
    </row>
    <row r="71" spans="1:3" x14ac:dyDescent="0.25">
      <c r="A71" s="16">
        <v>46255</v>
      </c>
      <c r="B71" s="17">
        <v>1697</v>
      </c>
      <c r="C71" s="17">
        <v>12</v>
      </c>
    </row>
    <row r="72" spans="1:3" x14ac:dyDescent="0.25">
      <c r="A72" s="16">
        <v>46256</v>
      </c>
      <c r="B72" s="17">
        <v>1703</v>
      </c>
      <c r="C72" s="17">
        <v>14</v>
      </c>
    </row>
    <row r="73" spans="1:3" x14ac:dyDescent="0.25">
      <c r="A73" s="16">
        <v>46257</v>
      </c>
      <c r="B73" s="17">
        <v>1697</v>
      </c>
      <c r="C73" s="17">
        <v>16</v>
      </c>
    </row>
    <row r="74" spans="1:3" x14ac:dyDescent="0.25">
      <c r="A74" s="16">
        <v>46258</v>
      </c>
      <c r="B74" s="17">
        <v>1713</v>
      </c>
      <c r="C74" s="17">
        <v>16</v>
      </c>
    </row>
    <row r="75" spans="1:3" x14ac:dyDescent="0.25">
      <c r="A75" s="16">
        <v>46259</v>
      </c>
      <c r="B75" s="17">
        <v>1716</v>
      </c>
      <c r="C75" s="17">
        <v>14</v>
      </c>
    </row>
    <row r="76" spans="1:3" x14ac:dyDescent="0.25">
      <c r="A76" s="16">
        <v>46260</v>
      </c>
      <c r="B76" s="17">
        <v>1720</v>
      </c>
      <c r="C76" s="17">
        <v>13</v>
      </c>
    </row>
    <row r="79" spans="1:1" x14ac:dyDescent="0.25">
      <c r="A79" s="10" t="s">
        <v>42</v>
      </c>
    </row>
    <row r="80" spans="1:3" x14ac:dyDescent="0.25">
      <c r="A80" s="5" t="s">
        <v>43</v>
      </c>
      <c r="B80" s="5" t="s">
        <v>44</v>
      </c>
      <c r="C80" s="5" t="s">
        <v>45</v>
      </c>
    </row>
    <row r="81" spans="1:3" x14ac:dyDescent="0.25">
      <c r="A81" s="12" t="s">
        <v>46</v>
      </c>
      <c r="B81" s="17">
        <v>2418</v>
      </c>
      <c r="C81" s="18">
        <f>B81/SUM($B$81:$B$84)</f>
        <v>0.9250191277735271</v>
      </c>
    </row>
    <row r="82" spans="1:3" x14ac:dyDescent="0.25">
      <c r="A82" s="12" t="s">
        <v>47</v>
      </c>
      <c r="B82" s="17">
        <v>132</v>
      </c>
      <c r="C82" s="18">
        <f>B82/SUM($B$81:$B$84)</f>
        <v>0.0504973221117062</v>
      </c>
    </row>
    <row r="83" spans="1:3" x14ac:dyDescent="0.25">
      <c r="A83" s="12" t="s">
        <v>48</v>
      </c>
      <c r="B83" s="17">
        <v>46</v>
      </c>
      <c r="C83" s="18">
        <f>B83/SUM($B$81:$B$84)</f>
        <v>0.017597551644988524</v>
      </c>
    </row>
    <row r="84" spans="1:3" x14ac:dyDescent="0.25">
      <c r="A84" s="12" t="s">
        <v>49</v>
      </c>
      <c r="B84" s="17">
        <v>18</v>
      </c>
      <c r="C84" s="18">
        <f>B84/SUM($B$81:$B$84)</f>
        <v>0.006885998469778117</v>
      </c>
    </row>
    <row r="85" spans="1:2" x14ac:dyDescent="0.25">
      <c r="A85" s="11" t="s">
        <v>50</v>
      </c>
      <c r="B85" s="19">
        <f>SUM(B81:B84)</f>
        <v>2614</v>
      </c>
    </row>
    <row r="86" spans="1:2" x14ac:dyDescent="0.25">
      <c r="A86" s="12" t="s">
        <v>51</v>
      </c>
      <c r="B86" s="20">
        <v>9</v>
      </c>
    </row>
    <row r="88" spans="1:2" x14ac:dyDescent="0.25">
      <c r="A88" s="12" t="s">
        <v>52</v>
      </c>
      <c r="B88" s="17">
        <v>214</v>
      </c>
    </row>
    <row r="89" spans="1:2" x14ac:dyDescent="0.25">
      <c r="A89" s="12" t="s">
        <v>53</v>
      </c>
      <c r="B89" s="20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workbookViewId="0" showGridLines="0">
      <pane xSplit="1" ySplit="7" topLeftCell="B8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8" width="20" customWidth="1"/>
  </cols>
  <sheetData>
    <row r="1" spans="1:1" x14ac:dyDescent="0.25">
      <c r="A1" s="1" t="s">
        <v>17</v>
      </c>
    </row>
    <row r="2" spans="1:1" x14ac:dyDescent="0.25">
      <c r="A2" s="2" t="s">
        <v>33</v>
      </c>
    </row>
    <row r="3" spans="1:1" x14ac:dyDescent="0.25">
      <c r="A3" s="3" t="s">
        <v>2</v>
      </c>
    </row>
    <row r="4" spans="1:1" x14ac:dyDescent="0.25">
      <c r="A4" s="4" t="s">
        <v>54</v>
      </c>
    </row>
    <row r="6" spans="1:1" x14ac:dyDescent="0.25">
      <c r="A6" s="10" t="s">
        <v>35</v>
      </c>
    </row>
    <row r="7" spans="1:4" x14ac:dyDescent="0.25">
      <c r="A7" s="5" t="s">
        <v>36</v>
      </c>
      <c r="B7" s="5" t="s">
        <v>5</v>
      </c>
      <c r="C7" s="5" t="s">
        <v>6</v>
      </c>
      <c r="D7" s="5" t="s">
        <v>7</v>
      </c>
    </row>
    <row r="8" spans="1:4" x14ac:dyDescent="0.25">
      <c r="A8" s="13" t="s">
        <v>55</v>
      </c>
      <c r="B8" s="14">
        <f>SUM(B19:B48)</f>
        <v>1234</v>
      </c>
      <c r="C8" s="14">
        <f>SUM(B52:B81)</f>
        <v>1065</v>
      </c>
      <c r="D8" s="15">
        <f>IF(C8=0,"",B8/C8-1)</f>
        <v>0.1586854460093896</v>
      </c>
    </row>
    <row r="9" spans="1:4" x14ac:dyDescent="0.25">
      <c r="A9" s="13" t="s">
        <v>56</v>
      </c>
      <c r="B9" s="14">
        <f>SUM(C19:C48)</f>
        <v>4080</v>
      </c>
      <c r="C9" s="14">
        <f>SUM(C52:C81)</f>
        <v>3414</v>
      </c>
      <c r="D9" s="15">
        <f>IF(C9=0,"",B9/C9-1)</f>
        <v>0.195079086115993</v>
      </c>
    </row>
    <row r="10" spans="1:4" x14ac:dyDescent="0.25">
      <c r="A10" s="13" t="s">
        <v>57</v>
      </c>
      <c r="B10" s="14">
        <f>SUM(D19:D48)</f>
        <v>3003</v>
      </c>
      <c r="C10" s="14">
        <f>SUM(D52:D81)</f>
        <v>2481</v>
      </c>
      <c r="D10" s="15">
        <f>IF(C10=0,"",B10/C10-1)</f>
        <v>0.21039903264812576</v>
      </c>
    </row>
    <row r="11" spans="1:4" x14ac:dyDescent="0.25">
      <c r="A11" s="13" t="s">
        <v>58</v>
      </c>
      <c r="B11" s="14">
        <f>SUM(E19:E48)</f>
        <v>6821</v>
      </c>
      <c r="C11" s="14">
        <f>SUM(E52:E81)</f>
        <v>5806</v>
      </c>
      <c r="D11" s="15">
        <f>IF(C11=0,"",B11/C11-1)</f>
        <v>0.17481915260075787</v>
      </c>
    </row>
    <row r="12" spans="1:4" x14ac:dyDescent="0.25">
      <c r="A12" s="13" t="s">
        <v>59</v>
      </c>
      <c r="B12" s="14">
        <f>SUM(F19:F48)</f>
        <v>44</v>
      </c>
      <c r="C12" s="14">
        <f>SUM(F52:F81)</f>
        <v>32</v>
      </c>
      <c r="D12" s="15">
        <f>IF(C12=0,"",B12/C12-1)</f>
        <v>0.375</v>
      </c>
    </row>
    <row r="13" spans="1:4" x14ac:dyDescent="0.25">
      <c r="A13" s="13" t="s">
        <v>60</v>
      </c>
      <c r="B13" s="14">
        <f>SUM(G19:G48)</f>
        <v>108</v>
      </c>
      <c r="C13" s="14">
        <f>SUM(G52:G81)</f>
        <v>88</v>
      </c>
      <c r="D13" s="15">
        <f>IF(C13=0,"",B13/C13-1)</f>
        <v>0.2272727272727273</v>
      </c>
    </row>
    <row r="14" spans="1:4" x14ac:dyDescent="0.25">
      <c r="A14" s="13" t="s">
        <v>61</v>
      </c>
      <c r="B14" s="21">
        <f>H48</f>
        <v>3.46</v>
      </c>
      <c r="C14" s="21">
        <f>H81</f>
        <v>3.07</v>
      </c>
      <c r="D14" s="15">
        <f>IF(C14=0,"",B14/C14-1)</f>
        <v>0.12703583061889256</v>
      </c>
    </row>
    <row r="17" spans="1:1" x14ac:dyDescent="0.25">
      <c r="A17" s="10" t="s">
        <v>39</v>
      </c>
    </row>
    <row r="18" spans="1:8" x14ac:dyDescent="0.25">
      <c r="A18" s="5" t="s">
        <v>40</v>
      </c>
      <c r="B18" s="5" t="s">
        <v>10</v>
      </c>
      <c r="C18" s="5" t="s">
        <v>62</v>
      </c>
      <c r="D18" s="5" t="s">
        <v>11</v>
      </c>
      <c r="E18" s="5" t="s">
        <v>63</v>
      </c>
      <c r="F18" s="5" t="s">
        <v>64</v>
      </c>
      <c r="G18" s="5" t="s">
        <v>65</v>
      </c>
      <c r="H18" s="5" t="s">
        <v>66</v>
      </c>
    </row>
    <row r="19" spans="1:8" x14ac:dyDescent="0.25">
      <c r="A19" s="16">
        <v>46261</v>
      </c>
      <c r="B19" s="17">
        <v>38</v>
      </c>
      <c r="C19" s="17">
        <v>99</v>
      </c>
      <c r="D19" s="17">
        <v>68</v>
      </c>
      <c r="E19" s="17">
        <v>211</v>
      </c>
      <c r="F19" s="17">
        <v>2</v>
      </c>
      <c r="G19" s="17">
        <v>4</v>
      </c>
      <c r="H19" s="22">
        <v>3.11</v>
      </c>
    </row>
    <row r="20" spans="1:8" x14ac:dyDescent="0.25">
      <c r="A20" s="16">
        <v>46262</v>
      </c>
      <c r="B20" s="17">
        <v>33</v>
      </c>
      <c r="C20" s="17">
        <v>104</v>
      </c>
      <c r="D20" s="17">
        <v>79</v>
      </c>
      <c r="E20" s="17">
        <v>241</v>
      </c>
      <c r="F20" s="17">
        <v>2</v>
      </c>
      <c r="G20" s="17">
        <v>4</v>
      </c>
      <c r="H20" s="22">
        <v>3.11</v>
      </c>
    </row>
    <row r="21" spans="1:8" x14ac:dyDescent="0.25">
      <c r="A21" s="16">
        <v>46263</v>
      </c>
      <c r="B21" s="17">
        <v>31</v>
      </c>
      <c r="C21" s="17">
        <v>113</v>
      </c>
      <c r="D21" s="17">
        <v>93</v>
      </c>
      <c r="E21" s="17">
        <v>238</v>
      </c>
      <c r="F21" s="17">
        <v>2</v>
      </c>
      <c r="G21" s="17">
        <v>3</v>
      </c>
      <c r="H21" s="22">
        <v>3.12</v>
      </c>
    </row>
    <row r="22" spans="1:8" x14ac:dyDescent="0.25">
      <c r="A22" s="16">
        <v>46264</v>
      </c>
      <c r="B22" s="17">
        <v>37</v>
      </c>
      <c r="C22" s="17">
        <v>126</v>
      </c>
      <c r="D22" s="17">
        <v>110</v>
      </c>
      <c r="E22" s="17">
        <v>226</v>
      </c>
      <c r="F22" s="17">
        <v>1</v>
      </c>
      <c r="G22" s="17">
        <v>3</v>
      </c>
      <c r="H22" s="22">
        <v>3.13</v>
      </c>
    </row>
    <row r="23" spans="1:8" x14ac:dyDescent="0.25">
      <c r="A23" s="16">
        <v>46265</v>
      </c>
      <c r="B23" s="17">
        <v>42</v>
      </c>
      <c r="C23" s="17">
        <v>141</v>
      </c>
      <c r="D23" s="17">
        <v>100</v>
      </c>
      <c r="E23" s="17">
        <v>216</v>
      </c>
      <c r="F23" s="17">
        <v>1</v>
      </c>
      <c r="G23" s="17">
        <v>3</v>
      </c>
      <c r="H23" s="22">
        <v>3.15</v>
      </c>
    </row>
    <row r="24" spans="1:8" x14ac:dyDescent="0.25">
      <c r="A24" s="16">
        <v>46266</v>
      </c>
      <c r="B24" s="17">
        <v>48</v>
      </c>
      <c r="C24" s="17">
        <v>141</v>
      </c>
      <c r="D24" s="17">
        <v>87</v>
      </c>
      <c r="E24" s="17">
        <v>170</v>
      </c>
      <c r="F24" s="17">
        <v>1</v>
      </c>
      <c r="G24" s="17">
        <v>3</v>
      </c>
      <c r="H24" s="22">
        <v>3.16</v>
      </c>
    </row>
    <row r="25" spans="1:8" x14ac:dyDescent="0.25">
      <c r="A25" s="16">
        <v>46267</v>
      </c>
      <c r="B25" s="17">
        <v>46</v>
      </c>
      <c r="C25" s="17">
        <v>135</v>
      </c>
      <c r="D25" s="17">
        <v>81</v>
      </c>
      <c r="E25" s="17">
        <v>174</v>
      </c>
      <c r="F25" s="17">
        <v>1</v>
      </c>
      <c r="G25" s="17">
        <v>4</v>
      </c>
      <c r="H25" s="22">
        <v>3.16</v>
      </c>
    </row>
    <row r="26" spans="1:8" x14ac:dyDescent="0.25">
      <c r="A26" s="16">
        <v>46268</v>
      </c>
      <c r="B26" s="17">
        <v>39</v>
      </c>
      <c r="C26" s="17">
        <v>110</v>
      </c>
      <c r="D26" s="17">
        <v>83</v>
      </c>
      <c r="E26" s="17">
        <v>198</v>
      </c>
      <c r="F26" s="17">
        <v>2</v>
      </c>
      <c r="G26" s="17">
        <v>4</v>
      </c>
      <c r="H26" s="22">
        <v>3.17</v>
      </c>
    </row>
    <row r="27" spans="1:8" x14ac:dyDescent="0.25">
      <c r="A27" s="16">
        <v>46269</v>
      </c>
      <c r="B27" s="17">
        <v>37</v>
      </c>
      <c r="C27" s="17">
        <v>99</v>
      </c>
      <c r="D27" s="17">
        <v>90</v>
      </c>
      <c r="E27" s="17">
        <v>246</v>
      </c>
      <c r="F27" s="17">
        <v>2</v>
      </c>
      <c r="G27" s="17">
        <v>4</v>
      </c>
      <c r="H27" s="22">
        <v>3.19</v>
      </c>
    </row>
    <row r="28" spans="1:8" x14ac:dyDescent="0.25">
      <c r="A28" s="16">
        <v>46270</v>
      </c>
      <c r="B28" s="17">
        <v>31</v>
      </c>
      <c r="C28" s="17">
        <v>120</v>
      </c>
      <c r="D28" s="17">
        <v>110</v>
      </c>
      <c r="E28" s="17">
        <v>257</v>
      </c>
      <c r="F28" s="17">
        <v>2</v>
      </c>
      <c r="G28" s="17">
        <v>3</v>
      </c>
      <c r="H28" s="22">
        <v>3.22</v>
      </c>
    </row>
    <row r="29" spans="1:8" x14ac:dyDescent="0.25">
      <c r="A29" s="16">
        <v>46271</v>
      </c>
      <c r="B29" s="17">
        <v>36</v>
      </c>
      <c r="C29" s="17">
        <v>143</v>
      </c>
      <c r="D29" s="17">
        <v>118</v>
      </c>
      <c r="E29" s="17">
        <v>253</v>
      </c>
      <c r="F29" s="17">
        <v>1</v>
      </c>
      <c r="G29" s="17">
        <v>3</v>
      </c>
      <c r="H29" s="22">
        <v>3.23</v>
      </c>
    </row>
    <row r="30" spans="1:8" x14ac:dyDescent="0.25">
      <c r="A30" s="16">
        <v>46272</v>
      </c>
      <c r="B30" s="17">
        <v>44</v>
      </c>
      <c r="C30" s="17">
        <v>160</v>
      </c>
      <c r="D30" s="17">
        <v>110</v>
      </c>
      <c r="E30" s="17">
        <v>223</v>
      </c>
      <c r="F30" s="17">
        <v>1</v>
      </c>
      <c r="G30" s="17">
        <v>3</v>
      </c>
      <c r="H30" s="22">
        <v>3.23</v>
      </c>
    </row>
    <row r="31" spans="1:8" x14ac:dyDescent="0.25">
      <c r="A31" s="16">
        <v>46273</v>
      </c>
      <c r="B31" s="17">
        <v>49</v>
      </c>
      <c r="C31" s="17">
        <v>156</v>
      </c>
      <c r="D31" s="17">
        <v>101</v>
      </c>
      <c r="E31" s="17">
        <v>192</v>
      </c>
      <c r="F31" s="17">
        <v>1</v>
      </c>
      <c r="G31" s="17">
        <v>3</v>
      </c>
      <c r="H31" s="22">
        <v>3.24</v>
      </c>
    </row>
    <row r="32" spans="1:8" x14ac:dyDescent="0.25">
      <c r="A32" s="16">
        <v>46274</v>
      </c>
      <c r="B32" s="17">
        <v>46</v>
      </c>
      <c r="C32" s="17">
        <v>128</v>
      </c>
      <c r="D32" s="17">
        <v>84</v>
      </c>
      <c r="E32" s="17">
        <v>197</v>
      </c>
      <c r="F32" s="17">
        <v>1</v>
      </c>
      <c r="G32" s="17">
        <v>4</v>
      </c>
      <c r="H32" s="22">
        <v>3.26</v>
      </c>
    </row>
    <row r="33" spans="1:8" x14ac:dyDescent="0.25">
      <c r="A33" s="16">
        <v>46275</v>
      </c>
      <c r="B33" s="17">
        <v>40</v>
      </c>
      <c r="C33" s="17">
        <v>116</v>
      </c>
      <c r="D33" s="17">
        <v>80</v>
      </c>
      <c r="E33" s="17">
        <v>214</v>
      </c>
      <c r="F33" s="17">
        <v>2</v>
      </c>
      <c r="G33" s="17">
        <v>4</v>
      </c>
      <c r="H33" s="22">
        <v>3.27</v>
      </c>
    </row>
    <row r="34" spans="1:8" x14ac:dyDescent="0.25">
      <c r="A34" s="16">
        <v>46276</v>
      </c>
      <c r="B34" s="17">
        <v>35</v>
      </c>
      <c r="C34" s="17">
        <v>111</v>
      </c>
      <c r="D34" s="17">
        <v>96</v>
      </c>
      <c r="E34" s="17">
        <v>259</v>
      </c>
      <c r="F34" s="17">
        <v>2</v>
      </c>
      <c r="G34" s="17">
        <v>4</v>
      </c>
      <c r="H34" s="22">
        <v>3.29</v>
      </c>
    </row>
    <row r="35" spans="1:8" x14ac:dyDescent="0.25">
      <c r="A35" s="16">
        <v>46277</v>
      </c>
      <c r="B35" s="17">
        <v>34</v>
      </c>
      <c r="C35" s="17">
        <v>124</v>
      </c>
      <c r="D35" s="17">
        <v>111</v>
      </c>
      <c r="E35" s="17">
        <v>263</v>
      </c>
      <c r="F35" s="17">
        <v>2</v>
      </c>
      <c r="G35" s="17">
        <v>3</v>
      </c>
      <c r="H35" s="22">
        <v>3.28</v>
      </c>
    </row>
    <row r="36" spans="1:8" x14ac:dyDescent="0.25">
      <c r="A36" s="16">
        <v>46278</v>
      </c>
      <c r="B36" s="17">
        <v>38</v>
      </c>
      <c r="C36" s="17">
        <v>151</v>
      </c>
      <c r="D36" s="17">
        <v>120</v>
      </c>
      <c r="E36" s="17">
        <v>265</v>
      </c>
      <c r="F36" s="17">
        <v>1</v>
      </c>
      <c r="G36" s="17">
        <v>3</v>
      </c>
      <c r="H36" s="22">
        <v>3.3</v>
      </c>
    </row>
    <row r="37" spans="1:8" x14ac:dyDescent="0.25">
      <c r="A37" s="16">
        <v>46279</v>
      </c>
      <c r="B37" s="17">
        <v>43</v>
      </c>
      <c r="C37" s="17">
        <v>164</v>
      </c>
      <c r="D37" s="17">
        <v>110</v>
      </c>
      <c r="E37" s="17">
        <v>225</v>
      </c>
      <c r="F37" s="17">
        <v>1</v>
      </c>
      <c r="G37" s="17">
        <v>3</v>
      </c>
      <c r="H37" s="22">
        <v>3.3</v>
      </c>
    </row>
    <row r="38" spans="1:8" x14ac:dyDescent="0.25">
      <c r="A38" s="16">
        <v>46280</v>
      </c>
      <c r="B38" s="17">
        <v>48</v>
      </c>
      <c r="C38" s="17">
        <v>170</v>
      </c>
      <c r="D38" s="17">
        <v>107</v>
      </c>
      <c r="E38" s="17">
        <v>205</v>
      </c>
      <c r="F38" s="17">
        <v>1</v>
      </c>
      <c r="G38" s="17">
        <v>4</v>
      </c>
      <c r="H38" s="22">
        <v>3.32</v>
      </c>
    </row>
    <row r="39" spans="1:8" x14ac:dyDescent="0.25">
      <c r="A39" s="16">
        <v>46281</v>
      </c>
      <c r="B39" s="17">
        <v>48</v>
      </c>
      <c r="C39" s="17">
        <v>149</v>
      </c>
      <c r="D39" s="17">
        <v>94</v>
      </c>
      <c r="E39" s="17">
        <v>196</v>
      </c>
      <c r="F39" s="17">
        <v>1</v>
      </c>
      <c r="G39" s="17">
        <v>4</v>
      </c>
      <c r="H39" s="22">
        <v>3.36</v>
      </c>
    </row>
    <row r="40" spans="1:8" x14ac:dyDescent="0.25">
      <c r="A40" s="16">
        <v>46282</v>
      </c>
      <c r="B40" s="17">
        <v>45</v>
      </c>
      <c r="C40" s="17">
        <v>123</v>
      </c>
      <c r="D40" s="17">
        <v>89</v>
      </c>
      <c r="E40" s="17">
        <v>233</v>
      </c>
      <c r="F40" s="17">
        <v>2</v>
      </c>
      <c r="G40" s="17">
        <v>4</v>
      </c>
      <c r="H40" s="22">
        <v>3.36</v>
      </c>
    </row>
    <row r="41" spans="1:8" x14ac:dyDescent="0.25">
      <c r="A41" s="16">
        <v>46283</v>
      </c>
      <c r="B41" s="17">
        <v>39</v>
      </c>
      <c r="C41" s="17">
        <v>129</v>
      </c>
      <c r="D41" s="17">
        <v>103</v>
      </c>
      <c r="E41" s="17">
        <v>251</v>
      </c>
      <c r="F41" s="17">
        <v>2</v>
      </c>
      <c r="G41" s="17">
        <v>4</v>
      </c>
      <c r="H41" s="22">
        <v>3.37</v>
      </c>
    </row>
    <row r="42" spans="1:8" x14ac:dyDescent="0.25">
      <c r="A42" s="16">
        <v>46284</v>
      </c>
      <c r="B42" s="17">
        <v>34</v>
      </c>
      <c r="C42" s="17">
        <v>135</v>
      </c>
      <c r="D42" s="17">
        <v>119</v>
      </c>
      <c r="E42" s="17">
        <v>268</v>
      </c>
      <c r="F42" s="17">
        <v>2</v>
      </c>
      <c r="G42" s="17">
        <v>4</v>
      </c>
      <c r="H42" s="22">
        <v>3.39</v>
      </c>
    </row>
    <row r="43" spans="1:8" x14ac:dyDescent="0.25">
      <c r="A43" s="16">
        <v>46285</v>
      </c>
      <c r="B43" s="17">
        <v>38</v>
      </c>
      <c r="C43" s="17">
        <v>166</v>
      </c>
      <c r="D43" s="17">
        <v>131</v>
      </c>
      <c r="E43" s="17">
        <v>265</v>
      </c>
      <c r="F43" s="17">
        <v>1</v>
      </c>
      <c r="G43" s="17">
        <v>3</v>
      </c>
      <c r="H43" s="22">
        <v>3.38</v>
      </c>
    </row>
    <row r="44" spans="1:8" x14ac:dyDescent="0.25">
      <c r="A44" s="16">
        <v>46286</v>
      </c>
      <c r="B44" s="17">
        <v>45</v>
      </c>
      <c r="C44" s="17">
        <v>175</v>
      </c>
      <c r="D44" s="17">
        <v>126</v>
      </c>
      <c r="E44" s="17">
        <v>215</v>
      </c>
      <c r="F44" s="17">
        <v>1</v>
      </c>
      <c r="G44" s="17">
        <v>3</v>
      </c>
      <c r="H44" s="22">
        <v>3.39</v>
      </c>
    </row>
    <row r="45" spans="1:8" x14ac:dyDescent="0.25">
      <c r="A45" s="16">
        <v>46287</v>
      </c>
      <c r="B45" s="17">
        <v>55</v>
      </c>
      <c r="C45" s="17">
        <v>181</v>
      </c>
      <c r="D45" s="17">
        <v>104</v>
      </c>
      <c r="E45" s="17">
        <v>210</v>
      </c>
      <c r="F45" s="17">
        <v>1</v>
      </c>
      <c r="G45" s="17">
        <v>4</v>
      </c>
      <c r="H45" s="22">
        <v>3.42</v>
      </c>
    </row>
    <row r="46" spans="1:8" x14ac:dyDescent="0.25">
      <c r="A46" s="16">
        <v>46288</v>
      </c>
      <c r="B46" s="17">
        <v>49</v>
      </c>
      <c r="C46" s="17">
        <v>150</v>
      </c>
      <c r="D46" s="17">
        <v>89</v>
      </c>
      <c r="E46" s="17">
        <v>209</v>
      </c>
      <c r="F46" s="17">
        <v>1</v>
      </c>
      <c r="G46" s="17">
        <v>4</v>
      </c>
      <c r="H46" s="22">
        <v>3.42</v>
      </c>
    </row>
    <row r="47" spans="1:8" x14ac:dyDescent="0.25">
      <c r="A47" s="16">
        <v>46289</v>
      </c>
      <c r="B47" s="17">
        <v>47</v>
      </c>
      <c r="C47" s="17">
        <v>132</v>
      </c>
      <c r="D47" s="17">
        <v>98</v>
      </c>
      <c r="E47" s="17">
        <v>240</v>
      </c>
      <c r="F47" s="17">
        <v>2</v>
      </c>
      <c r="G47" s="17">
        <v>5</v>
      </c>
      <c r="H47" s="22">
        <v>3.43</v>
      </c>
    </row>
    <row r="48" spans="1:8" x14ac:dyDescent="0.25">
      <c r="A48" s="16">
        <v>46290</v>
      </c>
      <c r="B48" s="17">
        <v>39</v>
      </c>
      <c r="C48" s="17">
        <v>129</v>
      </c>
      <c r="D48" s="17">
        <v>112</v>
      </c>
      <c r="E48" s="17">
        <v>261</v>
      </c>
      <c r="F48" s="17">
        <v>2</v>
      </c>
      <c r="G48" s="17">
        <v>4</v>
      </c>
      <c r="H48" s="22">
        <v>3.46</v>
      </c>
    </row>
    <row r="50" spans="1:1" x14ac:dyDescent="0.25">
      <c r="A50" s="10" t="s">
        <v>41</v>
      </c>
    </row>
    <row r="51" spans="1:8" x14ac:dyDescent="0.25">
      <c r="A51" s="5" t="s">
        <v>40</v>
      </c>
      <c r="B51" s="5" t="s">
        <v>10</v>
      </c>
      <c r="C51" s="5" t="s">
        <v>62</v>
      </c>
      <c r="D51" s="5" t="s">
        <v>11</v>
      </c>
      <c r="E51" s="5" t="s">
        <v>63</v>
      </c>
      <c r="F51" s="5" t="s">
        <v>64</v>
      </c>
      <c r="G51" s="5" t="s">
        <v>65</v>
      </c>
      <c r="H51" s="5" t="s">
        <v>66</v>
      </c>
    </row>
    <row r="52" spans="1:8" x14ac:dyDescent="0.25">
      <c r="A52" s="16">
        <v>46231</v>
      </c>
      <c r="B52" s="17">
        <v>32</v>
      </c>
      <c r="C52" s="17">
        <v>92</v>
      </c>
      <c r="D52" s="17">
        <v>71</v>
      </c>
      <c r="E52" s="17">
        <v>198</v>
      </c>
      <c r="F52" s="17">
        <v>1</v>
      </c>
      <c r="G52" s="17">
        <v>3</v>
      </c>
      <c r="H52" s="22">
        <v>2.73</v>
      </c>
    </row>
    <row r="53" spans="1:8" x14ac:dyDescent="0.25">
      <c r="A53" s="16">
        <v>46232</v>
      </c>
      <c r="B53" s="17">
        <v>29</v>
      </c>
      <c r="C53" s="17">
        <v>90</v>
      </c>
      <c r="D53" s="17">
        <v>82</v>
      </c>
      <c r="E53" s="17">
        <v>226</v>
      </c>
      <c r="F53" s="17">
        <v>1</v>
      </c>
      <c r="G53" s="17">
        <v>3</v>
      </c>
      <c r="H53" s="22">
        <v>2.76</v>
      </c>
    </row>
    <row r="54" spans="1:8" x14ac:dyDescent="0.25">
      <c r="A54" s="16">
        <v>46233</v>
      </c>
      <c r="B54" s="17">
        <v>32</v>
      </c>
      <c r="C54" s="17">
        <v>110</v>
      </c>
      <c r="D54" s="17">
        <v>94</v>
      </c>
      <c r="E54" s="17">
        <v>227</v>
      </c>
      <c r="F54" s="17">
        <v>1</v>
      </c>
      <c r="G54" s="17">
        <v>2</v>
      </c>
      <c r="H54" s="22">
        <v>2.76</v>
      </c>
    </row>
    <row r="55" spans="1:8" x14ac:dyDescent="0.25">
      <c r="A55" s="16">
        <v>46234</v>
      </c>
      <c r="B55" s="17">
        <v>37</v>
      </c>
      <c r="C55" s="17">
        <v>130</v>
      </c>
      <c r="D55" s="17">
        <v>97</v>
      </c>
      <c r="E55" s="17">
        <v>190</v>
      </c>
      <c r="F55" s="17">
        <v>1</v>
      </c>
      <c r="G55" s="17">
        <v>2</v>
      </c>
      <c r="H55" s="22">
        <v>2.77</v>
      </c>
    </row>
    <row r="56" spans="1:8" x14ac:dyDescent="0.25">
      <c r="A56" s="16">
        <v>46235</v>
      </c>
      <c r="B56" s="17">
        <v>39</v>
      </c>
      <c r="C56" s="17">
        <v>132</v>
      </c>
      <c r="D56" s="17">
        <v>79</v>
      </c>
      <c r="E56" s="17">
        <v>161</v>
      </c>
      <c r="F56" s="17">
        <v>1</v>
      </c>
      <c r="G56" s="17">
        <v>3</v>
      </c>
      <c r="H56" s="22">
        <v>2.78</v>
      </c>
    </row>
    <row r="57" spans="1:8" x14ac:dyDescent="0.25">
      <c r="A57" s="16">
        <v>46236</v>
      </c>
      <c r="B57" s="17">
        <v>40</v>
      </c>
      <c r="C57" s="17">
        <v>121</v>
      </c>
      <c r="D57" s="17">
        <v>68</v>
      </c>
      <c r="E57" s="17">
        <v>157</v>
      </c>
      <c r="F57" s="17">
        <v>1</v>
      </c>
      <c r="G57" s="17">
        <v>3</v>
      </c>
      <c r="H57" s="22">
        <v>2.79</v>
      </c>
    </row>
    <row r="58" spans="1:8" x14ac:dyDescent="0.25">
      <c r="A58" s="16">
        <v>46237</v>
      </c>
      <c r="B58" s="17">
        <v>38</v>
      </c>
      <c r="C58" s="17">
        <v>98</v>
      </c>
      <c r="D58" s="17">
        <v>64</v>
      </c>
      <c r="E58" s="17">
        <v>170</v>
      </c>
      <c r="F58" s="17">
        <v>1</v>
      </c>
      <c r="G58" s="17">
        <v>3</v>
      </c>
      <c r="H58" s="22">
        <v>2.8</v>
      </c>
    </row>
    <row r="59" spans="1:8" x14ac:dyDescent="0.25">
      <c r="A59" s="16">
        <v>46238</v>
      </c>
      <c r="B59" s="17">
        <v>31</v>
      </c>
      <c r="C59" s="17">
        <v>93</v>
      </c>
      <c r="D59" s="17">
        <v>69</v>
      </c>
      <c r="E59" s="17">
        <v>198</v>
      </c>
      <c r="F59" s="17">
        <v>1</v>
      </c>
      <c r="G59" s="17">
        <v>3</v>
      </c>
      <c r="H59" s="22">
        <v>2.81</v>
      </c>
    </row>
    <row r="60" spans="1:8" x14ac:dyDescent="0.25">
      <c r="A60" s="16">
        <v>46239</v>
      </c>
      <c r="B60" s="17">
        <v>30</v>
      </c>
      <c r="C60" s="17">
        <v>106</v>
      </c>
      <c r="D60" s="17">
        <v>86</v>
      </c>
      <c r="E60" s="17">
        <v>224</v>
      </c>
      <c r="F60" s="17">
        <v>1</v>
      </c>
      <c r="G60" s="17">
        <v>3</v>
      </c>
      <c r="H60" s="22">
        <v>2.83</v>
      </c>
    </row>
    <row r="61" spans="1:8" x14ac:dyDescent="0.25">
      <c r="A61" s="16">
        <v>46240</v>
      </c>
      <c r="B61" s="17">
        <v>29</v>
      </c>
      <c r="C61" s="17">
        <v>118</v>
      </c>
      <c r="D61" s="17">
        <v>93</v>
      </c>
      <c r="E61" s="17">
        <v>210</v>
      </c>
      <c r="F61" s="17">
        <v>1</v>
      </c>
      <c r="G61" s="17">
        <v>2</v>
      </c>
      <c r="H61" s="22">
        <v>2.86</v>
      </c>
    </row>
    <row r="62" spans="1:8" x14ac:dyDescent="0.25">
      <c r="A62" s="16">
        <v>46241</v>
      </c>
      <c r="B62" s="17">
        <v>35</v>
      </c>
      <c r="C62" s="17">
        <v>131</v>
      </c>
      <c r="D62" s="17">
        <v>91</v>
      </c>
      <c r="E62" s="17">
        <v>185</v>
      </c>
      <c r="F62" s="17">
        <v>1</v>
      </c>
      <c r="G62" s="17">
        <v>2</v>
      </c>
      <c r="H62" s="22">
        <v>2.87</v>
      </c>
    </row>
    <row r="63" spans="1:8" x14ac:dyDescent="0.25">
      <c r="A63" s="16">
        <v>46242</v>
      </c>
      <c r="B63" s="17">
        <v>42</v>
      </c>
      <c r="C63" s="17">
        <v>129</v>
      </c>
      <c r="D63" s="17">
        <v>87</v>
      </c>
      <c r="E63" s="17">
        <v>156</v>
      </c>
      <c r="F63" s="17">
        <v>1</v>
      </c>
      <c r="G63" s="17">
        <v>3</v>
      </c>
      <c r="H63" s="22">
        <v>2.86</v>
      </c>
    </row>
    <row r="64" spans="1:8" x14ac:dyDescent="0.25">
      <c r="A64" s="16">
        <v>46243</v>
      </c>
      <c r="B64" s="17">
        <v>42</v>
      </c>
      <c r="C64" s="17">
        <v>121</v>
      </c>
      <c r="D64" s="17">
        <v>68</v>
      </c>
      <c r="E64" s="17">
        <v>153</v>
      </c>
      <c r="F64" s="17">
        <v>1</v>
      </c>
      <c r="G64" s="17">
        <v>3</v>
      </c>
      <c r="H64" s="22">
        <v>2.87</v>
      </c>
    </row>
    <row r="65" spans="1:8" x14ac:dyDescent="0.25">
      <c r="A65" s="16">
        <v>46244</v>
      </c>
      <c r="B65" s="17">
        <v>39</v>
      </c>
      <c r="C65" s="17">
        <v>102</v>
      </c>
      <c r="D65" s="17">
        <v>69</v>
      </c>
      <c r="E65" s="17">
        <v>172</v>
      </c>
      <c r="F65" s="17">
        <v>1</v>
      </c>
      <c r="G65" s="17">
        <v>3</v>
      </c>
      <c r="H65" s="22">
        <v>2.91</v>
      </c>
    </row>
    <row r="66" spans="1:8" x14ac:dyDescent="0.25">
      <c r="A66" s="16">
        <v>46245</v>
      </c>
      <c r="B66" s="17">
        <v>31</v>
      </c>
      <c r="C66" s="17">
        <v>98</v>
      </c>
      <c r="D66" s="17">
        <v>72</v>
      </c>
      <c r="E66" s="17">
        <v>213</v>
      </c>
      <c r="F66" s="17">
        <v>1</v>
      </c>
      <c r="G66" s="17">
        <v>3</v>
      </c>
      <c r="H66" s="22">
        <v>2.92</v>
      </c>
    </row>
    <row r="67" spans="1:8" x14ac:dyDescent="0.25">
      <c r="A67" s="16">
        <v>46246</v>
      </c>
      <c r="B67" s="17">
        <v>30</v>
      </c>
      <c r="C67" s="17">
        <v>107</v>
      </c>
      <c r="D67" s="17">
        <v>90</v>
      </c>
      <c r="E67" s="17">
        <v>240</v>
      </c>
      <c r="F67" s="17">
        <v>1</v>
      </c>
      <c r="G67" s="17">
        <v>3</v>
      </c>
      <c r="H67" s="22">
        <v>2.91</v>
      </c>
    </row>
    <row r="68" spans="1:8" x14ac:dyDescent="0.25">
      <c r="A68" s="16">
        <v>46247</v>
      </c>
      <c r="B68" s="17">
        <v>33</v>
      </c>
      <c r="C68" s="17">
        <v>120</v>
      </c>
      <c r="D68" s="17">
        <v>96</v>
      </c>
      <c r="E68" s="17">
        <v>215</v>
      </c>
      <c r="F68" s="17">
        <v>1</v>
      </c>
      <c r="G68" s="17">
        <v>3</v>
      </c>
      <c r="H68" s="22">
        <v>2.93</v>
      </c>
    </row>
    <row r="69" spans="1:8" x14ac:dyDescent="0.25">
      <c r="A69" s="16">
        <v>46248</v>
      </c>
      <c r="B69" s="17">
        <v>38</v>
      </c>
      <c r="C69" s="17">
        <v>139</v>
      </c>
      <c r="D69" s="17">
        <v>93</v>
      </c>
      <c r="E69" s="17">
        <v>192</v>
      </c>
      <c r="F69" s="17">
        <v>1</v>
      </c>
      <c r="G69" s="17">
        <v>3</v>
      </c>
      <c r="H69" s="22">
        <v>2.96</v>
      </c>
    </row>
    <row r="70" spans="1:8" x14ac:dyDescent="0.25">
      <c r="A70" s="16">
        <v>46249</v>
      </c>
      <c r="B70" s="17">
        <v>40</v>
      </c>
      <c r="C70" s="17">
        <v>138</v>
      </c>
      <c r="D70" s="17">
        <v>82</v>
      </c>
      <c r="E70" s="17">
        <v>173</v>
      </c>
      <c r="F70" s="17">
        <v>1</v>
      </c>
      <c r="G70" s="17">
        <v>3</v>
      </c>
      <c r="H70" s="22">
        <v>2.95</v>
      </c>
    </row>
    <row r="71" spans="1:8" x14ac:dyDescent="0.25">
      <c r="A71" s="16">
        <v>46250</v>
      </c>
      <c r="B71" s="17">
        <v>42</v>
      </c>
      <c r="C71" s="17">
        <v>121</v>
      </c>
      <c r="D71" s="17">
        <v>77</v>
      </c>
      <c r="E71" s="17">
        <v>154</v>
      </c>
      <c r="F71" s="17">
        <v>1</v>
      </c>
      <c r="G71" s="17">
        <v>3</v>
      </c>
      <c r="H71" s="22">
        <v>2.97</v>
      </c>
    </row>
    <row r="72" spans="1:8" x14ac:dyDescent="0.25">
      <c r="A72" s="16">
        <v>46251</v>
      </c>
      <c r="B72" s="17">
        <v>39</v>
      </c>
      <c r="C72" s="17">
        <v>98</v>
      </c>
      <c r="D72" s="17">
        <v>70</v>
      </c>
      <c r="E72" s="17">
        <v>171</v>
      </c>
      <c r="F72" s="17">
        <v>1</v>
      </c>
      <c r="G72" s="17">
        <v>4</v>
      </c>
      <c r="H72" s="22">
        <v>2.97</v>
      </c>
    </row>
    <row r="73" spans="1:8" x14ac:dyDescent="0.25">
      <c r="A73" s="16">
        <v>46252</v>
      </c>
      <c r="B73" s="17">
        <v>33</v>
      </c>
      <c r="C73" s="17">
        <v>98</v>
      </c>
      <c r="D73" s="17">
        <v>82</v>
      </c>
      <c r="E73" s="17">
        <v>217</v>
      </c>
      <c r="F73" s="17">
        <v>2</v>
      </c>
      <c r="G73" s="17">
        <v>3</v>
      </c>
      <c r="H73" s="22">
        <v>2.98</v>
      </c>
    </row>
    <row r="74" spans="1:8" x14ac:dyDescent="0.25">
      <c r="A74" s="16">
        <v>46253</v>
      </c>
      <c r="B74" s="17">
        <v>29</v>
      </c>
      <c r="C74" s="17">
        <v>98</v>
      </c>
      <c r="D74" s="17">
        <v>88</v>
      </c>
      <c r="E74" s="17">
        <v>240</v>
      </c>
      <c r="F74" s="17">
        <v>1</v>
      </c>
      <c r="G74" s="17">
        <v>3</v>
      </c>
      <c r="H74" s="22">
        <v>3.02</v>
      </c>
    </row>
    <row r="75" spans="1:8" x14ac:dyDescent="0.25">
      <c r="A75" s="16">
        <v>46254</v>
      </c>
      <c r="B75" s="17">
        <v>31</v>
      </c>
      <c r="C75" s="17">
        <v>117</v>
      </c>
      <c r="D75" s="17">
        <v>96</v>
      </c>
      <c r="E75" s="17">
        <v>228</v>
      </c>
      <c r="F75" s="17">
        <v>1</v>
      </c>
      <c r="G75" s="17">
        <v>3</v>
      </c>
      <c r="H75" s="22">
        <v>3.02</v>
      </c>
    </row>
    <row r="76" spans="1:8" x14ac:dyDescent="0.25">
      <c r="A76" s="16">
        <v>46255</v>
      </c>
      <c r="B76" s="17">
        <v>38</v>
      </c>
      <c r="C76" s="17">
        <v>134</v>
      </c>
      <c r="D76" s="17">
        <v>101</v>
      </c>
      <c r="E76" s="17">
        <v>200</v>
      </c>
      <c r="F76" s="17">
        <v>1</v>
      </c>
      <c r="G76" s="17">
        <v>3</v>
      </c>
      <c r="H76" s="22">
        <v>3.03</v>
      </c>
    </row>
    <row r="77" spans="1:8" x14ac:dyDescent="0.25">
      <c r="A77" s="16">
        <v>46256</v>
      </c>
      <c r="B77" s="17">
        <v>43</v>
      </c>
      <c r="C77" s="17">
        <v>144</v>
      </c>
      <c r="D77" s="17">
        <v>83</v>
      </c>
      <c r="E77" s="17">
        <v>160</v>
      </c>
      <c r="F77" s="17">
        <v>1</v>
      </c>
      <c r="G77" s="17">
        <v>3</v>
      </c>
      <c r="H77" s="22">
        <v>3.03</v>
      </c>
    </row>
    <row r="78" spans="1:8" x14ac:dyDescent="0.25">
      <c r="A78" s="16">
        <v>46257</v>
      </c>
      <c r="B78" s="17">
        <v>45</v>
      </c>
      <c r="C78" s="17">
        <v>118</v>
      </c>
      <c r="D78" s="17">
        <v>79</v>
      </c>
      <c r="E78" s="17">
        <v>161</v>
      </c>
      <c r="F78" s="17">
        <v>1</v>
      </c>
      <c r="G78" s="17">
        <v>3</v>
      </c>
      <c r="H78" s="22">
        <v>3.06</v>
      </c>
    </row>
    <row r="79" spans="1:8" x14ac:dyDescent="0.25">
      <c r="A79" s="16">
        <v>46258</v>
      </c>
      <c r="B79" s="17">
        <v>38</v>
      </c>
      <c r="C79" s="17">
        <v>106</v>
      </c>
      <c r="D79" s="17">
        <v>75</v>
      </c>
      <c r="E79" s="17">
        <v>177</v>
      </c>
      <c r="F79" s="17">
        <v>1</v>
      </c>
      <c r="G79" s="17">
        <v>4</v>
      </c>
      <c r="H79" s="22">
        <v>3.06</v>
      </c>
    </row>
    <row r="80" spans="1:8" x14ac:dyDescent="0.25">
      <c r="A80" s="16">
        <v>46259</v>
      </c>
      <c r="B80" s="17">
        <v>31</v>
      </c>
      <c r="C80" s="17">
        <v>95</v>
      </c>
      <c r="D80" s="17">
        <v>83</v>
      </c>
      <c r="E80" s="17">
        <v>214</v>
      </c>
      <c r="F80" s="17">
        <v>2</v>
      </c>
      <c r="G80" s="17">
        <v>3</v>
      </c>
      <c r="H80" s="22">
        <v>3.07</v>
      </c>
    </row>
    <row r="81" spans="1:8" x14ac:dyDescent="0.25">
      <c r="A81" s="16">
        <v>46260</v>
      </c>
      <c r="B81" s="17">
        <v>29</v>
      </c>
      <c r="C81" s="17">
        <v>110</v>
      </c>
      <c r="D81" s="17">
        <v>96</v>
      </c>
      <c r="E81" s="17">
        <v>224</v>
      </c>
      <c r="F81" s="17">
        <v>1</v>
      </c>
      <c r="G81" s="17">
        <v>3</v>
      </c>
      <c r="H81" s="22">
        <v>3.07</v>
      </c>
    </row>
    <row r="84" spans="1:1" x14ac:dyDescent="0.25">
      <c r="A84" s="10" t="s">
        <v>67</v>
      </c>
    </row>
    <row r="85" spans="1:2" x14ac:dyDescent="0.25">
      <c r="A85" s="12" t="s">
        <v>68</v>
      </c>
      <c r="B85" s="23">
        <v>0.78</v>
      </c>
    </row>
    <row r="86" spans="1:2" x14ac:dyDescent="0.25">
      <c r="A86" s="12" t="s">
        <v>69</v>
      </c>
      <c r="B86" s="23">
        <v>0.22</v>
      </c>
    </row>
    <row r="87" spans="1:2" x14ac:dyDescent="0.25">
      <c r="A87" s="12" t="s">
        <v>70</v>
      </c>
      <c r="B87" s="24">
        <v>3.4</v>
      </c>
    </row>
    <row r="88" spans="1:2" x14ac:dyDescent="0.25">
      <c r="A88" s="12" t="s">
        <v>71</v>
      </c>
      <c r="B88" s="24">
        <v>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 showGridLines="0">
      <pane xSplit="1" ySplit="7" topLeftCell="B8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3" width="20" customWidth="1"/>
  </cols>
  <sheetData>
    <row r="1" spans="1:1" x14ac:dyDescent="0.25">
      <c r="A1" s="1" t="s">
        <v>19</v>
      </c>
    </row>
    <row r="2" spans="1:1" x14ac:dyDescent="0.25">
      <c r="A2" s="2" t="s">
        <v>33</v>
      </c>
    </row>
    <row r="3" spans="1:1" x14ac:dyDescent="0.25">
      <c r="A3" s="3" t="s">
        <v>2</v>
      </c>
    </row>
    <row r="4" spans="1:1" x14ac:dyDescent="0.25">
      <c r="A4" s="4" t="s">
        <v>72</v>
      </c>
    </row>
    <row r="6" spans="1:1" x14ac:dyDescent="0.25">
      <c r="A6" s="10" t="s">
        <v>35</v>
      </c>
    </row>
    <row r="7" spans="1:4" x14ac:dyDescent="0.25">
      <c r="A7" s="5" t="s">
        <v>36</v>
      </c>
      <c r="B7" s="5" t="s">
        <v>5</v>
      </c>
      <c r="C7" s="5" t="s">
        <v>6</v>
      </c>
      <c r="D7" s="5" t="s">
        <v>7</v>
      </c>
    </row>
    <row r="8" spans="1:4" x14ac:dyDescent="0.25">
      <c r="A8" s="13" t="s">
        <v>73</v>
      </c>
      <c r="B8" s="14">
        <f>SUM(B14:B43)</f>
        <v>67</v>
      </c>
      <c r="C8" s="14">
        <f>SUM(B47:B76)</f>
        <v>60</v>
      </c>
      <c r="D8" s="15">
        <f>IF(C8=0,"",B8/C8-1)</f>
        <v>0.1166666666666667</v>
      </c>
    </row>
    <row r="9" spans="1:4" x14ac:dyDescent="0.25">
      <c r="A9" s="13" t="s">
        <v>74</v>
      </c>
      <c r="B9" s="14">
        <f>C43</f>
        <v>213</v>
      </c>
      <c r="C9" s="14">
        <f>C76</f>
        <v>195</v>
      </c>
      <c r="D9" s="15">
        <f>IF(C9=0,"",B9/C9-1)</f>
        <v>0.0923076923076922</v>
      </c>
    </row>
    <row r="12" spans="1:1" x14ac:dyDescent="0.25">
      <c r="A12" s="10" t="s">
        <v>39</v>
      </c>
    </row>
    <row r="13" spans="1:3" x14ac:dyDescent="0.25">
      <c r="A13" s="5" t="s">
        <v>40</v>
      </c>
      <c r="B13" s="5" t="s">
        <v>75</v>
      </c>
      <c r="C13" s="5" t="s">
        <v>76</v>
      </c>
    </row>
    <row r="14" spans="1:3" x14ac:dyDescent="0.25">
      <c r="A14" s="16">
        <v>46261</v>
      </c>
      <c r="B14" s="17">
        <v>2</v>
      </c>
      <c r="C14" s="17">
        <v>196</v>
      </c>
    </row>
    <row r="15" spans="1:3" x14ac:dyDescent="0.25">
      <c r="A15" s="16">
        <v>46262</v>
      </c>
      <c r="B15" s="17">
        <v>2</v>
      </c>
      <c r="C15" s="17">
        <v>197</v>
      </c>
    </row>
    <row r="16" spans="1:3" x14ac:dyDescent="0.25">
      <c r="A16" s="16">
        <v>46263</v>
      </c>
      <c r="B16" s="17">
        <v>2</v>
      </c>
      <c r="C16" s="17">
        <v>198</v>
      </c>
    </row>
    <row r="17" spans="1:3" x14ac:dyDescent="0.25">
      <c r="A17" s="16">
        <v>46264</v>
      </c>
      <c r="B17" s="17">
        <v>2</v>
      </c>
      <c r="C17" s="17">
        <v>198</v>
      </c>
    </row>
    <row r="18" spans="1:3" x14ac:dyDescent="0.25">
      <c r="A18" s="16">
        <v>46265</v>
      </c>
      <c r="B18" s="17">
        <v>2</v>
      </c>
      <c r="C18" s="17">
        <v>198</v>
      </c>
    </row>
    <row r="19" spans="1:3" x14ac:dyDescent="0.25">
      <c r="A19" s="16">
        <v>46266</v>
      </c>
      <c r="B19" s="17">
        <v>2</v>
      </c>
      <c r="C19" s="17">
        <v>199</v>
      </c>
    </row>
    <row r="20" spans="1:3" x14ac:dyDescent="0.25">
      <c r="A20" s="16">
        <v>46267</v>
      </c>
      <c r="B20" s="17">
        <v>2</v>
      </c>
      <c r="C20" s="17">
        <v>200</v>
      </c>
    </row>
    <row r="21" spans="1:3" x14ac:dyDescent="0.25">
      <c r="A21" s="16">
        <v>46268</v>
      </c>
      <c r="B21" s="17">
        <v>2</v>
      </c>
      <c r="C21" s="17">
        <v>200</v>
      </c>
    </row>
    <row r="22" spans="1:3" x14ac:dyDescent="0.25">
      <c r="A22" s="16">
        <v>46269</v>
      </c>
      <c r="B22" s="17">
        <v>2</v>
      </c>
      <c r="C22" s="17">
        <v>201</v>
      </c>
    </row>
    <row r="23" spans="1:3" x14ac:dyDescent="0.25">
      <c r="A23" s="16">
        <v>46270</v>
      </c>
      <c r="B23" s="17">
        <v>2</v>
      </c>
      <c r="C23" s="17">
        <v>201</v>
      </c>
    </row>
    <row r="24" spans="1:3" x14ac:dyDescent="0.25">
      <c r="A24" s="16">
        <v>46271</v>
      </c>
      <c r="B24" s="17">
        <v>2</v>
      </c>
      <c r="C24" s="17">
        <v>202</v>
      </c>
    </row>
    <row r="25" spans="1:3" x14ac:dyDescent="0.25">
      <c r="A25" s="16">
        <v>46272</v>
      </c>
      <c r="B25" s="17">
        <v>2</v>
      </c>
      <c r="C25" s="17">
        <v>203</v>
      </c>
    </row>
    <row r="26" spans="1:3" x14ac:dyDescent="0.25">
      <c r="A26" s="16">
        <v>46273</v>
      </c>
      <c r="B26" s="17">
        <v>3</v>
      </c>
      <c r="C26" s="17">
        <v>203</v>
      </c>
    </row>
    <row r="27" spans="1:3" x14ac:dyDescent="0.25">
      <c r="A27" s="16">
        <v>46274</v>
      </c>
      <c r="B27" s="17">
        <v>3</v>
      </c>
      <c r="C27" s="17">
        <v>204</v>
      </c>
    </row>
    <row r="28" spans="1:3" x14ac:dyDescent="0.25">
      <c r="A28" s="16">
        <v>46275</v>
      </c>
      <c r="B28" s="17">
        <v>3</v>
      </c>
      <c r="C28" s="17">
        <v>204</v>
      </c>
    </row>
    <row r="29" spans="1:3" x14ac:dyDescent="0.25">
      <c r="A29" s="16">
        <v>46276</v>
      </c>
      <c r="B29" s="17">
        <v>2</v>
      </c>
      <c r="C29" s="17">
        <v>206</v>
      </c>
    </row>
    <row r="30" spans="1:3" x14ac:dyDescent="0.25">
      <c r="A30" s="16">
        <v>46277</v>
      </c>
      <c r="B30" s="17">
        <v>2</v>
      </c>
      <c r="C30" s="17">
        <v>206</v>
      </c>
    </row>
    <row r="31" spans="1:3" x14ac:dyDescent="0.25">
      <c r="A31" s="16">
        <v>46278</v>
      </c>
      <c r="B31" s="17">
        <v>2</v>
      </c>
      <c r="C31" s="17">
        <v>207</v>
      </c>
    </row>
    <row r="32" spans="1:3" x14ac:dyDescent="0.25">
      <c r="A32" s="16">
        <v>46279</v>
      </c>
      <c r="B32" s="17">
        <v>2</v>
      </c>
      <c r="C32" s="17">
        <v>206</v>
      </c>
    </row>
    <row r="33" spans="1:3" x14ac:dyDescent="0.25">
      <c r="A33" s="16">
        <v>46280</v>
      </c>
      <c r="B33" s="17">
        <v>3</v>
      </c>
      <c r="C33" s="17">
        <v>207</v>
      </c>
    </row>
    <row r="34" spans="1:3" x14ac:dyDescent="0.25">
      <c r="A34" s="16">
        <v>46281</v>
      </c>
      <c r="B34" s="17">
        <v>3</v>
      </c>
      <c r="C34" s="17">
        <v>208</v>
      </c>
    </row>
    <row r="35" spans="1:3" x14ac:dyDescent="0.25">
      <c r="A35" s="16">
        <v>46282</v>
      </c>
      <c r="B35" s="17">
        <v>2</v>
      </c>
      <c r="C35" s="17">
        <v>209</v>
      </c>
    </row>
    <row r="36" spans="1:3" x14ac:dyDescent="0.25">
      <c r="A36" s="16">
        <v>46283</v>
      </c>
      <c r="B36" s="17">
        <v>2</v>
      </c>
      <c r="C36" s="17">
        <v>209</v>
      </c>
    </row>
    <row r="37" spans="1:3" x14ac:dyDescent="0.25">
      <c r="A37" s="16">
        <v>46284</v>
      </c>
      <c r="B37" s="17">
        <v>2</v>
      </c>
      <c r="C37" s="17">
        <v>210</v>
      </c>
    </row>
    <row r="38" spans="1:3" x14ac:dyDescent="0.25">
      <c r="A38" s="16">
        <v>46285</v>
      </c>
      <c r="B38" s="17">
        <v>2</v>
      </c>
      <c r="C38" s="17">
        <v>211</v>
      </c>
    </row>
    <row r="39" spans="1:3" x14ac:dyDescent="0.25">
      <c r="A39" s="16">
        <v>46286</v>
      </c>
      <c r="B39" s="17">
        <v>2</v>
      </c>
      <c r="C39" s="17">
        <v>211</v>
      </c>
    </row>
    <row r="40" spans="1:3" x14ac:dyDescent="0.25">
      <c r="A40" s="16">
        <v>46287</v>
      </c>
      <c r="B40" s="17">
        <v>3</v>
      </c>
      <c r="C40" s="17">
        <v>212</v>
      </c>
    </row>
    <row r="41" spans="1:3" x14ac:dyDescent="0.25">
      <c r="A41" s="16">
        <v>46288</v>
      </c>
      <c r="B41" s="17">
        <v>3</v>
      </c>
      <c r="C41" s="17">
        <v>212</v>
      </c>
    </row>
    <row r="42" spans="1:3" x14ac:dyDescent="0.25">
      <c r="A42" s="16">
        <v>46289</v>
      </c>
      <c r="B42" s="17">
        <v>2</v>
      </c>
      <c r="C42" s="17">
        <v>212</v>
      </c>
    </row>
    <row r="43" spans="1:3" x14ac:dyDescent="0.25">
      <c r="A43" s="16">
        <v>46290</v>
      </c>
      <c r="B43" s="17">
        <v>2</v>
      </c>
      <c r="C43" s="17">
        <v>213</v>
      </c>
    </row>
    <row r="45" spans="1:1" x14ac:dyDescent="0.25">
      <c r="A45" s="10" t="s">
        <v>41</v>
      </c>
    </row>
    <row r="46" spans="1:3" x14ac:dyDescent="0.25">
      <c r="A46" s="5" t="s">
        <v>40</v>
      </c>
      <c r="B46" s="5" t="s">
        <v>75</v>
      </c>
      <c r="C46" s="5" t="s">
        <v>76</v>
      </c>
    </row>
    <row r="47" spans="1:3" x14ac:dyDescent="0.25">
      <c r="A47" s="16">
        <v>46231</v>
      </c>
      <c r="B47" s="17">
        <v>2</v>
      </c>
      <c r="C47" s="17">
        <v>178</v>
      </c>
    </row>
    <row r="48" spans="1:3" x14ac:dyDescent="0.25">
      <c r="A48" s="16">
        <v>46232</v>
      </c>
      <c r="B48" s="17">
        <v>2</v>
      </c>
      <c r="C48" s="17">
        <v>179</v>
      </c>
    </row>
    <row r="49" spans="1:3" x14ac:dyDescent="0.25">
      <c r="A49" s="16">
        <v>46233</v>
      </c>
      <c r="B49" s="17">
        <v>2</v>
      </c>
      <c r="C49" s="17">
        <v>180</v>
      </c>
    </row>
    <row r="50" spans="1:3" x14ac:dyDescent="0.25">
      <c r="A50" s="16">
        <v>46234</v>
      </c>
      <c r="B50" s="17">
        <v>2</v>
      </c>
      <c r="C50" s="17">
        <v>181</v>
      </c>
    </row>
    <row r="51" spans="1:3" x14ac:dyDescent="0.25">
      <c r="A51" s="16">
        <v>46235</v>
      </c>
      <c r="B51" s="17">
        <v>2</v>
      </c>
      <c r="C51" s="17">
        <v>181</v>
      </c>
    </row>
    <row r="52" spans="1:3" x14ac:dyDescent="0.25">
      <c r="A52" s="16">
        <v>46236</v>
      </c>
      <c r="B52" s="17">
        <v>2</v>
      </c>
      <c r="C52" s="17">
        <v>182</v>
      </c>
    </row>
    <row r="53" spans="1:3" x14ac:dyDescent="0.25">
      <c r="A53" s="16">
        <v>46237</v>
      </c>
      <c r="B53" s="17">
        <v>2</v>
      </c>
      <c r="C53" s="17">
        <v>182</v>
      </c>
    </row>
    <row r="54" spans="1:3" x14ac:dyDescent="0.25">
      <c r="A54" s="16">
        <v>46238</v>
      </c>
      <c r="B54" s="17">
        <v>2</v>
      </c>
      <c r="C54" s="17">
        <v>183</v>
      </c>
    </row>
    <row r="55" spans="1:3" x14ac:dyDescent="0.25">
      <c r="A55" s="16">
        <v>46239</v>
      </c>
      <c r="B55" s="17">
        <v>2</v>
      </c>
      <c r="C55" s="17">
        <v>182</v>
      </c>
    </row>
    <row r="56" spans="1:3" x14ac:dyDescent="0.25">
      <c r="A56" s="16">
        <v>46240</v>
      </c>
      <c r="B56" s="17">
        <v>2</v>
      </c>
      <c r="C56" s="17">
        <v>184</v>
      </c>
    </row>
    <row r="57" spans="1:3" x14ac:dyDescent="0.25">
      <c r="A57" s="16">
        <v>46241</v>
      </c>
      <c r="B57" s="17">
        <v>2</v>
      </c>
      <c r="C57" s="17">
        <v>185</v>
      </c>
    </row>
    <row r="58" spans="1:3" x14ac:dyDescent="0.25">
      <c r="A58" s="16">
        <v>46242</v>
      </c>
      <c r="B58" s="17">
        <v>2</v>
      </c>
      <c r="C58" s="17">
        <v>185</v>
      </c>
    </row>
    <row r="59" spans="1:3" x14ac:dyDescent="0.25">
      <c r="A59" s="16">
        <v>46243</v>
      </c>
      <c r="B59" s="17">
        <v>2</v>
      </c>
      <c r="C59" s="17">
        <v>185</v>
      </c>
    </row>
    <row r="60" spans="1:3" x14ac:dyDescent="0.25">
      <c r="A60" s="16">
        <v>46244</v>
      </c>
      <c r="B60" s="17">
        <v>2</v>
      </c>
      <c r="C60" s="17">
        <v>186</v>
      </c>
    </row>
    <row r="61" spans="1:3" x14ac:dyDescent="0.25">
      <c r="A61" s="16">
        <v>46245</v>
      </c>
      <c r="B61" s="17">
        <v>2</v>
      </c>
      <c r="C61" s="17">
        <v>187</v>
      </c>
    </row>
    <row r="62" spans="1:3" x14ac:dyDescent="0.25">
      <c r="A62" s="16">
        <v>46246</v>
      </c>
      <c r="B62" s="17">
        <v>2</v>
      </c>
      <c r="C62" s="17">
        <v>188</v>
      </c>
    </row>
    <row r="63" spans="1:3" x14ac:dyDescent="0.25">
      <c r="A63" s="16">
        <v>46247</v>
      </c>
      <c r="B63" s="17">
        <v>2</v>
      </c>
      <c r="C63" s="17">
        <v>188</v>
      </c>
    </row>
    <row r="64" spans="1:3" x14ac:dyDescent="0.25">
      <c r="A64" s="16">
        <v>46248</v>
      </c>
      <c r="B64" s="17">
        <v>2</v>
      </c>
      <c r="C64" s="17">
        <v>188</v>
      </c>
    </row>
    <row r="65" spans="1:3" x14ac:dyDescent="0.25">
      <c r="A65" s="16">
        <v>46249</v>
      </c>
      <c r="B65" s="17">
        <v>2</v>
      </c>
      <c r="C65" s="17">
        <v>188</v>
      </c>
    </row>
    <row r="66" spans="1:3" x14ac:dyDescent="0.25">
      <c r="A66" s="16">
        <v>46250</v>
      </c>
      <c r="B66" s="17">
        <v>2</v>
      </c>
      <c r="C66" s="17">
        <v>190</v>
      </c>
    </row>
    <row r="67" spans="1:3" x14ac:dyDescent="0.25">
      <c r="A67" s="16">
        <v>46251</v>
      </c>
      <c r="B67" s="17">
        <v>2</v>
      </c>
      <c r="C67" s="17">
        <v>190</v>
      </c>
    </row>
    <row r="68" spans="1:3" x14ac:dyDescent="0.25">
      <c r="A68" s="16">
        <v>46252</v>
      </c>
      <c r="B68" s="17">
        <v>2</v>
      </c>
      <c r="C68" s="17">
        <v>191</v>
      </c>
    </row>
    <row r="69" spans="1:3" x14ac:dyDescent="0.25">
      <c r="A69" s="16">
        <v>46253</v>
      </c>
      <c r="B69" s="17">
        <v>2</v>
      </c>
      <c r="C69" s="17">
        <v>192</v>
      </c>
    </row>
    <row r="70" spans="1:3" x14ac:dyDescent="0.25">
      <c r="A70" s="16">
        <v>46254</v>
      </c>
      <c r="B70" s="17">
        <v>2</v>
      </c>
      <c r="C70" s="17">
        <v>191</v>
      </c>
    </row>
    <row r="71" spans="1:3" x14ac:dyDescent="0.25">
      <c r="A71" s="16">
        <v>46255</v>
      </c>
      <c r="B71" s="17">
        <v>2</v>
      </c>
      <c r="C71" s="17">
        <v>193</v>
      </c>
    </row>
    <row r="72" spans="1:3" x14ac:dyDescent="0.25">
      <c r="A72" s="16">
        <v>46256</v>
      </c>
      <c r="B72" s="17">
        <v>2</v>
      </c>
      <c r="C72" s="17">
        <v>193</v>
      </c>
    </row>
    <row r="73" spans="1:3" x14ac:dyDescent="0.25">
      <c r="A73" s="16">
        <v>46257</v>
      </c>
      <c r="B73" s="17">
        <v>2</v>
      </c>
      <c r="C73" s="17">
        <v>193</v>
      </c>
    </row>
    <row r="74" spans="1:3" x14ac:dyDescent="0.25">
      <c r="A74" s="16">
        <v>46258</v>
      </c>
      <c r="B74" s="17">
        <v>2</v>
      </c>
      <c r="C74" s="17">
        <v>194</v>
      </c>
    </row>
    <row r="75" spans="1:3" x14ac:dyDescent="0.25">
      <c r="A75" s="16">
        <v>46259</v>
      </c>
      <c r="B75" s="17">
        <v>2</v>
      </c>
      <c r="C75" s="17">
        <v>195</v>
      </c>
    </row>
    <row r="76" spans="1:3" x14ac:dyDescent="0.25">
      <c r="A76" s="16">
        <v>46260</v>
      </c>
      <c r="B76" s="17">
        <v>2</v>
      </c>
      <c r="C76" s="17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 showGridLines="0">
      <pane xSplit="1" ySplit="7" topLeftCell="B8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6" width="20" customWidth="1"/>
  </cols>
  <sheetData>
    <row r="1" spans="1:1" x14ac:dyDescent="0.25">
      <c r="A1" s="1" t="s">
        <v>77</v>
      </c>
    </row>
    <row r="2" spans="1:1" x14ac:dyDescent="0.25">
      <c r="A2" s="2" t="s">
        <v>33</v>
      </c>
    </row>
    <row r="3" spans="1:1" x14ac:dyDescent="0.25">
      <c r="A3" s="3" t="s">
        <v>2</v>
      </c>
    </row>
    <row r="4" spans="1:1" x14ac:dyDescent="0.25">
      <c r="A4" s="4" t="s">
        <v>78</v>
      </c>
    </row>
    <row r="6" spans="1:1" x14ac:dyDescent="0.25">
      <c r="A6" s="10" t="s">
        <v>35</v>
      </c>
    </row>
    <row r="7" spans="1:4" x14ac:dyDescent="0.25">
      <c r="A7" s="5" t="s">
        <v>36</v>
      </c>
      <c r="B7" s="5" t="s">
        <v>5</v>
      </c>
      <c r="C7" s="5" t="s">
        <v>6</v>
      </c>
      <c r="D7" s="5" t="s">
        <v>7</v>
      </c>
    </row>
    <row r="8" spans="1:4" x14ac:dyDescent="0.25">
      <c r="A8" s="13" t="s">
        <v>79</v>
      </c>
      <c r="B8" s="14">
        <f>SUM(B17:B46)</f>
        <v>852</v>
      </c>
      <c r="C8" s="14">
        <f>SUM(B50:B79)</f>
        <v>725</v>
      </c>
      <c r="D8" s="15">
        <f>IF(C8=0,"",B8/C8-1)</f>
        <v>0.17517241379310344</v>
      </c>
    </row>
    <row r="9" spans="1:4" x14ac:dyDescent="0.25">
      <c r="A9" s="13" t="s">
        <v>80</v>
      </c>
      <c r="B9" s="14">
        <f>SUM(C17:C46)</f>
        <v>618</v>
      </c>
      <c r="C9" s="14">
        <f>SUM(C50:C79)</f>
        <v>546</v>
      </c>
      <c r="D9" s="15">
        <f>IF(C9=0,"",B9/C9-1)</f>
        <v>0.13186813186813184</v>
      </c>
    </row>
    <row r="10" spans="1:4" x14ac:dyDescent="0.25">
      <c r="A10" s="13" t="s">
        <v>81</v>
      </c>
      <c r="B10" s="14">
        <f>SUM(D17:D46)</f>
        <v>365</v>
      </c>
      <c r="C10" s="14">
        <f>SUM(D50:D79)</f>
        <v>308</v>
      </c>
      <c r="D10" s="15">
        <f>IF(C10=0,"",B10/C10-1)</f>
        <v>0.18506493506493515</v>
      </c>
    </row>
    <row r="11" spans="1:4" x14ac:dyDescent="0.25">
      <c r="A11" s="13" t="s">
        <v>82</v>
      </c>
      <c r="B11" s="14">
        <f>SUM(E17:E46)</f>
        <v>15916</v>
      </c>
      <c r="C11" s="14">
        <f>SUM(E50:E79)</f>
        <v>13581</v>
      </c>
      <c r="D11" s="15">
        <f>IF(C11=0,"",B11/C11-1)</f>
        <v>0.1719313747146749</v>
      </c>
    </row>
    <row r="12" spans="1:4" x14ac:dyDescent="0.25">
      <c r="A12" s="13" t="s">
        <v>83</v>
      </c>
      <c r="B12" s="14">
        <f>SUM(F17:F46)</f>
        <v>187</v>
      </c>
      <c r="C12" s="14">
        <f>SUM(F50:F79)</f>
        <v>155</v>
      </c>
      <c r="D12" s="15">
        <f>IF(C12=0,"",B12/C12-1)</f>
        <v>0.2064516129032259</v>
      </c>
    </row>
    <row r="15" spans="1:1" x14ac:dyDescent="0.25">
      <c r="A15" s="10" t="s">
        <v>39</v>
      </c>
    </row>
    <row r="16" spans="1:6" x14ac:dyDescent="0.25">
      <c r="A16" s="5" t="s">
        <v>40</v>
      </c>
      <c r="B16" s="5" t="s">
        <v>84</v>
      </c>
      <c r="C16" s="5" t="s">
        <v>85</v>
      </c>
      <c r="D16" s="5" t="s">
        <v>86</v>
      </c>
      <c r="E16" s="5" t="s">
        <v>87</v>
      </c>
      <c r="F16" s="5" t="s">
        <v>88</v>
      </c>
    </row>
    <row r="17" spans="1:6" x14ac:dyDescent="0.25">
      <c r="A17" s="16">
        <v>46261</v>
      </c>
      <c r="B17" s="17">
        <v>22</v>
      </c>
      <c r="C17" s="17">
        <v>17</v>
      </c>
      <c r="D17" s="17">
        <v>12</v>
      </c>
      <c r="E17" s="17">
        <v>588</v>
      </c>
      <c r="F17" s="17">
        <v>6</v>
      </c>
    </row>
    <row r="18" spans="1:6" x14ac:dyDescent="0.25">
      <c r="A18" s="16">
        <v>46262</v>
      </c>
      <c r="B18" s="17">
        <v>22</v>
      </c>
      <c r="C18" s="17">
        <v>20</v>
      </c>
      <c r="D18" s="17">
        <v>13</v>
      </c>
      <c r="E18" s="17">
        <v>520</v>
      </c>
      <c r="F18" s="17">
        <v>5</v>
      </c>
    </row>
    <row r="19" spans="1:6" x14ac:dyDescent="0.25">
      <c r="A19" s="16">
        <v>46263</v>
      </c>
      <c r="B19" s="17">
        <v>27</v>
      </c>
      <c r="C19" s="17">
        <v>23</v>
      </c>
      <c r="D19" s="17">
        <v>13</v>
      </c>
      <c r="E19" s="17">
        <v>434</v>
      </c>
      <c r="F19" s="17">
        <v>5</v>
      </c>
    </row>
    <row r="20" spans="1:6" x14ac:dyDescent="0.25">
      <c r="A20" s="16">
        <v>46264</v>
      </c>
      <c r="B20" s="17">
        <v>32</v>
      </c>
      <c r="C20" s="17">
        <v>23</v>
      </c>
      <c r="D20" s="17">
        <v>11</v>
      </c>
      <c r="E20" s="17">
        <v>417</v>
      </c>
      <c r="F20" s="17">
        <v>5</v>
      </c>
    </row>
    <row r="21" spans="1:6" x14ac:dyDescent="0.25">
      <c r="A21" s="16">
        <v>46265</v>
      </c>
      <c r="B21" s="17">
        <v>32</v>
      </c>
      <c r="C21" s="17">
        <v>19</v>
      </c>
      <c r="D21" s="17">
        <v>10</v>
      </c>
      <c r="E21" s="17">
        <v>435</v>
      </c>
      <c r="F21" s="17">
        <v>6</v>
      </c>
    </row>
    <row r="22" spans="1:6" x14ac:dyDescent="0.25">
      <c r="A22" s="16">
        <v>46266</v>
      </c>
      <c r="B22" s="17">
        <v>29</v>
      </c>
      <c r="C22" s="17">
        <v>17</v>
      </c>
      <c r="D22" s="17">
        <v>9</v>
      </c>
      <c r="E22" s="17">
        <v>517</v>
      </c>
      <c r="F22" s="17">
        <v>6</v>
      </c>
    </row>
    <row r="23" spans="1:6" x14ac:dyDescent="0.25">
      <c r="A23" s="16">
        <v>46267</v>
      </c>
      <c r="B23" s="17">
        <v>24</v>
      </c>
      <c r="C23" s="17">
        <v>16</v>
      </c>
      <c r="D23" s="17">
        <v>10</v>
      </c>
      <c r="E23" s="17">
        <v>583</v>
      </c>
      <c r="F23" s="17">
        <v>7</v>
      </c>
    </row>
    <row r="24" spans="1:6" x14ac:dyDescent="0.25">
      <c r="A24" s="16">
        <v>46268</v>
      </c>
      <c r="B24" s="17">
        <v>23</v>
      </c>
      <c r="C24" s="17">
        <v>17</v>
      </c>
      <c r="D24" s="17">
        <v>12</v>
      </c>
      <c r="E24" s="17">
        <v>588</v>
      </c>
      <c r="F24" s="17">
        <v>6</v>
      </c>
    </row>
    <row r="25" spans="1:6" x14ac:dyDescent="0.25">
      <c r="A25" s="16">
        <v>46269</v>
      </c>
      <c r="B25" s="17">
        <v>26</v>
      </c>
      <c r="C25" s="17">
        <v>21</v>
      </c>
      <c r="D25" s="17">
        <v>14</v>
      </c>
      <c r="E25" s="17">
        <v>559</v>
      </c>
      <c r="F25" s="17">
        <v>5</v>
      </c>
    </row>
    <row r="26" spans="1:6" x14ac:dyDescent="0.25">
      <c r="A26" s="16">
        <v>46270</v>
      </c>
      <c r="B26" s="17">
        <v>29</v>
      </c>
      <c r="C26" s="17">
        <v>23</v>
      </c>
      <c r="D26" s="17">
        <v>13</v>
      </c>
      <c r="E26" s="17">
        <v>460</v>
      </c>
      <c r="F26" s="17">
        <v>5</v>
      </c>
    </row>
    <row r="27" spans="1:6" x14ac:dyDescent="0.25">
      <c r="A27" s="16">
        <v>46271</v>
      </c>
      <c r="B27" s="17">
        <v>32</v>
      </c>
      <c r="C27" s="17">
        <v>22</v>
      </c>
      <c r="D27" s="17">
        <v>11</v>
      </c>
      <c r="E27" s="17">
        <v>395</v>
      </c>
      <c r="F27" s="17">
        <v>5</v>
      </c>
    </row>
    <row r="28" spans="1:6" x14ac:dyDescent="0.25">
      <c r="A28" s="16">
        <v>46272</v>
      </c>
      <c r="B28" s="17">
        <v>32</v>
      </c>
      <c r="C28" s="17">
        <v>21</v>
      </c>
      <c r="D28" s="17">
        <v>10</v>
      </c>
      <c r="E28" s="17">
        <v>420</v>
      </c>
      <c r="F28" s="17">
        <v>6</v>
      </c>
    </row>
    <row r="29" spans="1:6" x14ac:dyDescent="0.25">
      <c r="A29" s="16">
        <v>46273</v>
      </c>
      <c r="B29" s="17">
        <v>30</v>
      </c>
      <c r="C29" s="17">
        <v>17</v>
      </c>
      <c r="D29" s="17">
        <v>9</v>
      </c>
      <c r="E29" s="17">
        <v>525</v>
      </c>
      <c r="F29" s="17">
        <v>7</v>
      </c>
    </row>
    <row r="30" spans="1:6" x14ac:dyDescent="0.25">
      <c r="A30" s="16">
        <v>46274</v>
      </c>
      <c r="B30" s="17">
        <v>25</v>
      </c>
      <c r="C30" s="17">
        <v>17</v>
      </c>
      <c r="D30" s="17">
        <v>11</v>
      </c>
      <c r="E30" s="17">
        <v>591</v>
      </c>
      <c r="F30" s="17">
        <v>7</v>
      </c>
    </row>
    <row r="31" spans="1:6" x14ac:dyDescent="0.25">
      <c r="A31" s="16">
        <v>46275</v>
      </c>
      <c r="B31" s="17">
        <v>24</v>
      </c>
      <c r="C31" s="17">
        <v>18</v>
      </c>
      <c r="D31" s="17">
        <v>13</v>
      </c>
      <c r="E31" s="17">
        <v>586</v>
      </c>
      <c r="F31" s="17">
        <v>7</v>
      </c>
    </row>
    <row r="32" spans="1:6" x14ac:dyDescent="0.25">
      <c r="A32" s="16">
        <v>46276</v>
      </c>
      <c r="B32" s="17">
        <v>27</v>
      </c>
      <c r="C32" s="17">
        <v>23</v>
      </c>
      <c r="D32" s="17">
        <v>15</v>
      </c>
      <c r="E32" s="17">
        <v>567</v>
      </c>
      <c r="F32" s="17">
        <v>6</v>
      </c>
    </row>
    <row r="33" spans="1:6" x14ac:dyDescent="0.25">
      <c r="A33" s="16">
        <v>46277</v>
      </c>
      <c r="B33" s="17">
        <v>30</v>
      </c>
      <c r="C33" s="17">
        <v>24</v>
      </c>
      <c r="D33" s="17">
        <v>14</v>
      </c>
      <c r="E33" s="17">
        <v>479</v>
      </c>
      <c r="F33" s="17">
        <v>5</v>
      </c>
    </row>
    <row r="34" spans="1:6" x14ac:dyDescent="0.25">
      <c r="A34" s="16">
        <v>46278</v>
      </c>
      <c r="B34" s="17">
        <v>35</v>
      </c>
      <c r="C34" s="17">
        <v>23</v>
      </c>
      <c r="D34" s="17">
        <v>12</v>
      </c>
      <c r="E34" s="17">
        <v>469</v>
      </c>
      <c r="F34" s="17">
        <v>6</v>
      </c>
    </row>
    <row r="35" spans="1:6" x14ac:dyDescent="0.25">
      <c r="A35" s="16">
        <v>46279</v>
      </c>
      <c r="B35" s="17">
        <v>35</v>
      </c>
      <c r="C35" s="17">
        <v>21</v>
      </c>
      <c r="D35" s="17">
        <v>11</v>
      </c>
      <c r="E35" s="17">
        <v>499</v>
      </c>
      <c r="F35" s="17">
        <v>7</v>
      </c>
    </row>
    <row r="36" spans="1:6" x14ac:dyDescent="0.25">
      <c r="A36" s="16">
        <v>46280</v>
      </c>
      <c r="B36" s="17">
        <v>30</v>
      </c>
      <c r="C36" s="17">
        <v>19</v>
      </c>
      <c r="D36" s="17">
        <v>10</v>
      </c>
      <c r="E36" s="17">
        <v>522</v>
      </c>
      <c r="F36" s="17">
        <v>7</v>
      </c>
    </row>
    <row r="37" spans="1:6" x14ac:dyDescent="0.25">
      <c r="A37" s="16">
        <v>46281</v>
      </c>
      <c r="B37" s="17">
        <v>25</v>
      </c>
      <c r="C37" s="17">
        <v>18</v>
      </c>
      <c r="D37" s="17">
        <v>11</v>
      </c>
      <c r="E37" s="17">
        <v>612</v>
      </c>
      <c r="F37" s="17">
        <v>8</v>
      </c>
    </row>
    <row r="38" spans="1:6" x14ac:dyDescent="0.25">
      <c r="A38" s="16">
        <v>46282</v>
      </c>
      <c r="B38" s="17">
        <v>25</v>
      </c>
      <c r="C38" s="17">
        <v>21</v>
      </c>
      <c r="D38" s="17">
        <v>14</v>
      </c>
      <c r="E38" s="17">
        <v>660</v>
      </c>
      <c r="F38" s="17">
        <v>6</v>
      </c>
    </row>
    <row r="39" spans="1:6" x14ac:dyDescent="0.25">
      <c r="A39" s="16">
        <v>46283</v>
      </c>
      <c r="B39" s="17">
        <v>25</v>
      </c>
      <c r="C39" s="17">
        <v>22</v>
      </c>
      <c r="D39" s="17">
        <v>16</v>
      </c>
      <c r="E39" s="17">
        <v>564</v>
      </c>
      <c r="F39" s="17">
        <v>6</v>
      </c>
    </row>
    <row r="40" spans="1:6" x14ac:dyDescent="0.25">
      <c r="A40" s="16">
        <v>46284</v>
      </c>
      <c r="B40" s="17">
        <v>30</v>
      </c>
      <c r="C40" s="17">
        <v>24</v>
      </c>
      <c r="D40" s="17">
        <v>15</v>
      </c>
      <c r="E40" s="17">
        <v>489</v>
      </c>
      <c r="F40" s="17">
        <v>6</v>
      </c>
    </row>
    <row r="41" spans="1:6" x14ac:dyDescent="0.25">
      <c r="A41" s="16">
        <v>46285</v>
      </c>
      <c r="B41" s="17">
        <v>34</v>
      </c>
      <c r="C41" s="17">
        <v>26</v>
      </c>
      <c r="D41" s="17">
        <v>13</v>
      </c>
      <c r="E41" s="17">
        <v>464</v>
      </c>
      <c r="F41" s="17">
        <v>6</v>
      </c>
    </row>
    <row r="42" spans="1:6" x14ac:dyDescent="0.25">
      <c r="A42" s="16">
        <v>46286</v>
      </c>
      <c r="B42" s="17">
        <v>37</v>
      </c>
      <c r="C42" s="17">
        <v>21</v>
      </c>
      <c r="D42" s="17">
        <v>11</v>
      </c>
      <c r="E42" s="17">
        <v>486</v>
      </c>
      <c r="F42" s="17">
        <v>7</v>
      </c>
    </row>
    <row r="43" spans="1:6" x14ac:dyDescent="0.25">
      <c r="A43" s="16">
        <v>46287</v>
      </c>
      <c r="B43" s="17">
        <v>30</v>
      </c>
      <c r="C43" s="17">
        <v>20</v>
      </c>
      <c r="D43" s="17">
        <v>11</v>
      </c>
      <c r="E43" s="17">
        <v>554</v>
      </c>
      <c r="F43" s="17">
        <v>8</v>
      </c>
    </row>
    <row r="44" spans="1:6" x14ac:dyDescent="0.25">
      <c r="A44" s="16">
        <v>46288</v>
      </c>
      <c r="B44" s="17">
        <v>27</v>
      </c>
      <c r="C44" s="17">
        <v>19</v>
      </c>
      <c r="D44" s="17">
        <v>12</v>
      </c>
      <c r="E44" s="17">
        <v>657</v>
      </c>
      <c r="F44" s="17">
        <v>8</v>
      </c>
    </row>
    <row r="45" spans="1:6" x14ac:dyDescent="0.25">
      <c r="A45" s="16">
        <v>46289</v>
      </c>
      <c r="B45" s="17">
        <v>25</v>
      </c>
      <c r="C45" s="17">
        <v>21</v>
      </c>
      <c r="D45" s="17">
        <v>14</v>
      </c>
      <c r="E45" s="17">
        <v>640</v>
      </c>
      <c r="F45" s="17">
        <v>7</v>
      </c>
    </row>
    <row r="46" spans="1:6" x14ac:dyDescent="0.25">
      <c r="A46" s="16">
        <v>46290</v>
      </c>
      <c r="B46" s="17">
        <v>28</v>
      </c>
      <c r="C46" s="17">
        <v>25</v>
      </c>
      <c r="D46" s="17">
        <v>15</v>
      </c>
      <c r="E46" s="17">
        <v>636</v>
      </c>
      <c r="F46" s="17">
        <v>6</v>
      </c>
    </row>
    <row r="48" spans="1:1" x14ac:dyDescent="0.25">
      <c r="A48" s="10" t="s">
        <v>41</v>
      </c>
    </row>
    <row r="49" spans="1:6" x14ac:dyDescent="0.25">
      <c r="A49" s="5" t="s">
        <v>40</v>
      </c>
      <c r="B49" s="5" t="s">
        <v>84</v>
      </c>
      <c r="C49" s="5" t="s">
        <v>85</v>
      </c>
      <c r="D49" s="5" t="s">
        <v>86</v>
      </c>
      <c r="E49" s="5" t="s">
        <v>87</v>
      </c>
      <c r="F49" s="5" t="s">
        <v>88</v>
      </c>
    </row>
    <row r="50" spans="1:6" x14ac:dyDescent="0.25">
      <c r="A50" s="16">
        <v>46231</v>
      </c>
      <c r="B50" s="17">
        <v>21</v>
      </c>
      <c r="C50" s="17">
        <v>18</v>
      </c>
      <c r="D50" s="17">
        <v>11</v>
      </c>
      <c r="E50" s="17">
        <v>479</v>
      </c>
      <c r="F50" s="17">
        <v>5</v>
      </c>
    </row>
    <row r="51" spans="1:6" x14ac:dyDescent="0.25">
      <c r="A51" s="16">
        <v>46232</v>
      </c>
      <c r="B51" s="17">
        <v>24</v>
      </c>
      <c r="C51" s="17">
        <v>20</v>
      </c>
      <c r="D51" s="17">
        <v>11</v>
      </c>
      <c r="E51" s="17">
        <v>404</v>
      </c>
      <c r="F51" s="17">
        <v>4</v>
      </c>
    </row>
    <row r="52" spans="1:6" x14ac:dyDescent="0.25">
      <c r="A52" s="16">
        <v>46233</v>
      </c>
      <c r="B52" s="17">
        <v>26</v>
      </c>
      <c r="C52" s="17">
        <v>21</v>
      </c>
      <c r="D52" s="17">
        <v>10</v>
      </c>
      <c r="E52" s="17">
        <v>369</v>
      </c>
      <c r="F52" s="17">
        <v>4</v>
      </c>
    </row>
    <row r="53" spans="1:6" x14ac:dyDescent="0.25">
      <c r="A53" s="16">
        <v>46234</v>
      </c>
      <c r="B53" s="17">
        <v>27</v>
      </c>
      <c r="C53" s="17">
        <v>19</v>
      </c>
      <c r="D53" s="17">
        <v>8</v>
      </c>
      <c r="E53" s="17">
        <v>374</v>
      </c>
      <c r="F53" s="17">
        <v>5</v>
      </c>
    </row>
    <row r="54" spans="1:6" x14ac:dyDescent="0.25">
      <c r="A54" s="16">
        <v>46235</v>
      </c>
      <c r="B54" s="17">
        <v>25</v>
      </c>
      <c r="C54" s="17">
        <v>15</v>
      </c>
      <c r="D54" s="17">
        <v>9</v>
      </c>
      <c r="E54" s="17">
        <v>415</v>
      </c>
      <c r="F54" s="17">
        <v>6</v>
      </c>
    </row>
    <row r="55" spans="1:6" x14ac:dyDescent="0.25">
      <c r="A55" s="16">
        <v>46236</v>
      </c>
      <c r="B55" s="17">
        <v>22</v>
      </c>
      <c r="C55" s="17">
        <v>13</v>
      </c>
      <c r="D55" s="17">
        <v>8</v>
      </c>
      <c r="E55" s="17">
        <v>480</v>
      </c>
      <c r="F55" s="17">
        <v>6</v>
      </c>
    </row>
    <row r="56" spans="1:6" x14ac:dyDescent="0.25">
      <c r="A56" s="16">
        <v>46237</v>
      </c>
      <c r="B56" s="17">
        <v>19</v>
      </c>
      <c r="C56" s="17">
        <v>16</v>
      </c>
      <c r="D56" s="17">
        <v>10</v>
      </c>
      <c r="E56" s="17">
        <v>529</v>
      </c>
      <c r="F56" s="17">
        <v>6</v>
      </c>
    </row>
    <row r="57" spans="1:6" x14ac:dyDescent="0.25">
      <c r="A57" s="16">
        <v>46238</v>
      </c>
      <c r="B57" s="17">
        <v>19</v>
      </c>
      <c r="C57" s="17">
        <v>18</v>
      </c>
      <c r="D57" s="17">
        <v>12</v>
      </c>
      <c r="E57" s="17">
        <v>503</v>
      </c>
      <c r="F57" s="17">
        <v>5</v>
      </c>
    </row>
    <row r="58" spans="1:6" x14ac:dyDescent="0.25">
      <c r="A58" s="16">
        <v>46239</v>
      </c>
      <c r="B58" s="17">
        <v>24</v>
      </c>
      <c r="C58" s="17">
        <v>21</v>
      </c>
      <c r="D58" s="17">
        <v>11</v>
      </c>
      <c r="E58" s="17">
        <v>430</v>
      </c>
      <c r="F58" s="17">
        <v>4</v>
      </c>
    </row>
    <row r="59" spans="1:6" x14ac:dyDescent="0.25">
      <c r="A59" s="16">
        <v>46240</v>
      </c>
      <c r="B59" s="17">
        <v>29</v>
      </c>
      <c r="C59" s="17">
        <v>20</v>
      </c>
      <c r="D59" s="17">
        <v>11</v>
      </c>
      <c r="E59" s="17">
        <v>381</v>
      </c>
      <c r="F59" s="17">
        <v>5</v>
      </c>
    </row>
    <row r="60" spans="1:6" x14ac:dyDescent="0.25">
      <c r="A60" s="16">
        <v>46241</v>
      </c>
      <c r="B60" s="17">
        <v>29</v>
      </c>
      <c r="C60" s="17">
        <v>18</v>
      </c>
      <c r="D60" s="17">
        <v>9</v>
      </c>
      <c r="E60" s="17">
        <v>380</v>
      </c>
      <c r="F60" s="17">
        <v>5</v>
      </c>
    </row>
    <row r="61" spans="1:6" x14ac:dyDescent="0.25">
      <c r="A61" s="16">
        <v>46242</v>
      </c>
      <c r="B61" s="17">
        <v>25</v>
      </c>
      <c r="C61" s="17">
        <v>15</v>
      </c>
      <c r="D61" s="17">
        <v>8</v>
      </c>
      <c r="E61" s="17">
        <v>442</v>
      </c>
      <c r="F61" s="17">
        <v>6</v>
      </c>
    </row>
    <row r="62" spans="1:6" x14ac:dyDescent="0.25">
      <c r="A62" s="16">
        <v>46243</v>
      </c>
      <c r="B62" s="17">
        <v>22</v>
      </c>
      <c r="C62" s="17">
        <v>15</v>
      </c>
      <c r="D62" s="17">
        <v>9</v>
      </c>
      <c r="E62" s="17">
        <v>486</v>
      </c>
      <c r="F62" s="17">
        <v>6</v>
      </c>
    </row>
    <row r="63" spans="1:6" x14ac:dyDescent="0.25">
      <c r="A63" s="16">
        <v>46244</v>
      </c>
      <c r="B63" s="17">
        <v>20</v>
      </c>
      <c r="C63" s="17">
        <v>16</v>
      </c>
      <c r="D63" s="17">
        <v>10</v>
      </c>
      <c r="E63" s="17">
        <v>504</v>
      </c>
      <c r="F63" s="17">
        <v>5</v>
      </c>
    </row>
    <row r="64" spans="1:6" x14ac:dyDescent="0.25">
      <c r="A64" s="16">
        <v>46245</v>
      </c>
      <c r="B64" s="17">
        <v>21</v>
      </c>
      <c r="C64" s="17">
        <v>19</v>
      </c>
      <c r="D64" s="17">
        <v>12</v>
      </c>
      <c r="E64" s="17">
        <v>490</v>
      </c>
      <c r="F64" s="17">
        <v>5</v>
      </c>
    </row>
    <row r="65" spans="1:6" x14ac:dyDescent="0.25">
      <c r="A65" s="16">
        <v>46246</v>
      </c>
      <c r="B65" s="17">
        <v>25</v>
      </c>
      <c r="C65" s="17">
        <v>22</v>
      </c>
      <c r="D65" s="17">
        <v>12</v>
      </c>
      <c r="E65" s="17">
        <v>423</v>
      </c>
      <c r="F65" s="17">
        <v>4</v>
      </c>
    </row>
    <row r="66" spans="1:6" x14ac:dyDescent="0.25">
      <c r="A66" s="16">
        <v>46247</v>
      </c>
      <c r="B66" s="17">
        <v>27</v>
      </c>
      <c r="C66" s="17">
        <v>21</v>
      </c>
      <c r="D66" s="17">
        <v>10</v>
      </c>
      <c r="E66" s="17">
        <v>387</v>
      </c>
      <c r="F66" s="17">
        <v>4</v>
      </c>
    </row>
    <row r="67" spans="1:6" x14ac:dyDescent="0.25">
      <c r="A67" s="16">
        <v>46248</v>
      </c>
      <c r="B67" s="17">
        <v>28</v>
      </c>
      <c r="C67" s="17">
        <v>18</v>
      </c>
      <c r="D67" s="17">
        <v>9</v>
      </c>
      <c r="E67" s="17">
        <v>366</v>
      </c>
      <c r="F67" s="17">
        <v>5</v>
      </c>
    </row>
    <row r="68" spans="1:6" x14ac:dyDescent="0.25">
      <c r="A68" s="16">
        <v>46249</v>
      </c>
      <c r="B68" s="17">
        <v>25</v>
      </c>
      <c r="C68" s="17">
        <v>17</v>
      </c>
      <c r="D68" s="17">
        <v>8</v>
      </c>
      <c r="E68" s="17">
        <v>449</v>
      </c>
      <c r="F68" s="17">
        <v>6</v>
      </c>
    </row>
    <row r="69" spans="1:6" x14ac:dyDescent="0.25">
      <c r="A69" s="16">
        <v>46250</v>
      </c>
      <c r="B69" s="17">
        <v>21</v>
      </c>
      <c r="C69" s="17">
        <v>15</v>
      </c>
      <c r="D69" s="17">
        <v>9</v>
      </c>
      <c r="E69" s="17">
        <v>537</v>
      </c>
      <c r="F69" s="17">
        <v>6</v>
      </c>
    </row>
    <row r="70" spans="1:6" x14ac:dyDescent="0.25">
      <c r="A70" s="16">
        <v>46251</v>
      </c>
      <c r="B70" s="17">
        <v>22</v>
      </c>
      <c r="C70" s="17">
        <v>16</v>
      </c>
      <c r="D70" s="17">
        <v>11</v>
      </c>
      <c r="E70" s="17">
        <v>557</v>
      </c>
      <c r="F70" s="17">
        <v>6</v>
      </c>
    </row>
    <row r="71" spans="1:6" x14ac:dyDescent="0.25">
      <c r="A71" s="16">
        <v>46252</v>
      </c>
      <c r="B71" s="17">
        <v>22</v>
      </c>
      <c r="C71" s="17">
        <v>20</v>
      </c>
      <c r="D71" s="17">
        <v>12</v>
      </c>
      <c r="E71" s="17">
        <v>499</v>
      </c>
      <c r="F71" s="17">
        <v>5</v>
      </c>
    </row>
    <row r="72" spans="1:6" x14ac:dyDescent="0.25">
      <c r="A72" s="16">
        <v>46253</v>
      </c>
      <c r="B72" s="17">
        <v>25</v>
      </c>
      <c r="C72" s="17">
        <v>22</v>
      </c>
      <c r="D72" s="17">
        <v>12</v>
      </c>
      <c r="E72" s="17">
        <v>429</v>
      </c>
      <c r="F72" s="17">
        <v>4</v>
      </c>
    </row>
    <row r="73" spans="1:6" x14ac:dyDescent="0.25">
      <c r="A73" s="16">
        <v>46254</v>
      </c>
      <c r="B73" s="17">
        <v>30</v>
      </c>
      <c r="C73" s="17">
        <v>22</v>
      </c>
      <c r="D73" s="17">
        <v>11</v>
      </c>
      <c r="E73" s="17">
        <v>406</v>
      </c>
      <c r="F73" s="17">
        <v>5</v>
      </c>
    </row>
    <row r="74" spans="1:6" x14ac:dyDescent="0.25">
      <c r="A74" s="16">
        <v>46255</v>
      </c>
      <c r="B74" s="17">
        <v>29</v>
      </c>
      <c r="C74" s="17">
        <v>19</v>
      </c>
      <c r="D74" s="17">
        <v>9</v>
      </c>
      <c r="E74" s="17">
        <v>387</v>
      </c>
      <c r="F74" s="17">
        <v>6</v>
      </c>
    </row>
    <row r="75" spans="1:6" x14ac:dyDescent="0.25">
      <c r="A75" s="16">
        <v>46256</v>
      </c>
      <c r="B75" s="17">
        <v>26</v>
      </c>
      <c r="C75" s="17">
        <v>16</v>
      </c>
      <c r="D75" s="17">
        <v>9</v>
      </c>
      <c r="E75" s="17">
        <v>446</v>
      </c>
      <c r="F75" s="17">
        <v>6</v>
      </c>
    </row>
    <row r="76" spans="1:6" x14ac:dyDescent="0.25">
      <c r="A76" s="16">
        <v>46257</v>
      </c>
      <c r="B76" s="17">
        <v>24</v>
      </c>
      <c r="C76" s="17">
        <v>16</v>
      </c>
      <c r="D76" s="17">
        <v>10</v>
      </c>
      <c r="E76" s="17">
        <v>541</v>
      </c>
      <c r="F76" s="17">
        <v>6</v>
      </c>
    </row>
    <row r="77" spans="1:6" x14ac:dyDescent="0.25">
      <c r="A77" s="16">
        <v>46258</v>
      </c>
      <c r="B77" s="17">
        <v>20</v>
      </c>
      <c r="C77" s="17">
        <v>16</v>
      </c>
      <c r="D77" s="17">
        <v>12</v>
      </c>
      <c r="E77" s="17">
        <v>536</v>
      </c>
      <c r="F77" s="17">
        <v>6</v>
      </c>
    </row>
    <row r="78" spans="1:6" x14ac:dyDescent="0.25">
      <c r="A78" s="16">
        <v>46259</v>
      </c>
      <c r="B78" s="17">
        <v>21</v>
      </c>
      <c r="C78" s="17">
        <v>20</v>
      </c>
      <c r="D78" s="17">
        <v>13</v>
      </c>
      <c r="E78" s="17">
        <v>510</v>
      </c>
      <c r="F78" s="17">
        <v>5</v>
      </c>
    </row>
    <row r="79" spans="1:6" x14ac:dyDescent="0.25">
      <c r="A79" s="16">
        <v>46260</v>
      </c>
      <c r="B79" s="17">
        <v>27</v>
      </c>
      <c r="C79" s="17">
        <v>22</v>
      </c>
      <c r="D79" s="17">
        <v>12</v>
      </c>
      <c r="E79" s="17">
        <v>442</v>
      </c>
      <c r="F79" s="17">
        <v>4</v>
      </c>
    </row>
    <row r="82" spans="1:2" x14ac:dyDescent="0.25">
      <c r="A82" s="12" t="s">
        <v>89</v>
      </c>
      <c r="B82" s="25">
        <v>0.624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 showGridLines="0">
      <pane xSplit="1" ySplit="7" topLeftCell="B8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8" width="20" customWidth="1"/>
  </cols>
  <sheetData>
    <row r="1" spans="1:1" x14ac:dyDescent="0.25">
      <c r="A1" s="1" t="s">
        <v>23</v>
      </c>
    </row>
    <row r="2" spans="1:1" x14ac:dyDescent="0.25">
      <c r="A2" s="2" t="s">
        <v>33</v>
      </c>
    </row>
    <row r="3" spans="1:1" x14ac:dyDescent="0.25">
      <c r="A3" s="3" t="s">
        <v>2</v>
      </c>
    </row>
    <row r="4" spans="1:1" x14ac:dyDescent="0.25">
      <c r="A4" s="4" t="s">
        <v>90</v>
      </c>
    </row>
    <row r="6" spans="1:1" x14ac:dyDescent="0.25">
      <c r="A6" s="10" t="s">
        <v>35</v>
      </c>
    </row>
    <row r="7" spans="1:4" x14ac:dyDescent="0.25">
      <c r="A7" s="5" t="s">
        <v>36</v>
      </c>
      <c r="B7" s="5" t="s">
        <v>5</v>
      </c>
      <c r="C7" s="5" t="s">
        <v>6</v>
      </c>
      <c r="D7" s="5" t="s">
        <v>7</v>
      </c>
    </row>
    <row r="8" spans="1:4" x14ac:dyDescent="0.25">
      <c r="A8" s="13" t="s">
        <v>91</v>
      </c>
      <c r="B8" s="26">
        <f>SUM(B19:B48)</f>
        <v>392569614</v>
      </c>
      <c r="C8" s="26">
        <f>SUM(B52:B81)</f>
        <v>325750976</v>
      </c>
      <c r="D8" s="15">
        <f>IF(C8=0,"",B8/C8-1)</f>
        <v>0.2051218351529973</v>
      </c>
    </row>
    <row r="9" spans="1:4" x14ac:dyDescent="0.25">
      <c r="A9" s="13" t="s">
        <v>92</v>
      </c>
      <c r="B9" s="14">
        <f>C48</f>
        <v>312</v>
      </c>
      <c r="C9" s="14">
        <f>C81</f>
        <v>279</v>
      </c>
      <c r="D9" s="15">
        <f>IF(C9=0,"",B9/C9-1)</f>
        <v>0.11827956989247301</v>
      </c>
    </row>
    <row r="10" spans="1:4" x14ac:dyDescent="0.25">
      <c r="A10" s="13" t="s">
        <v>93</v>
      </c>
      <c r="B10" s="14">
        <f>SUM(D19:D48)</f>
        <v>230</v>
      </c>
      <c r="C10" s="14">
        <f>SUM(D52:D81)</f>
        <v>193</v>
      </c>
      <c r="D10" s="15">
        <f>IF(C10=0,"",B10/C10-1)</f>
        <v>0.1917098445595855</v>
      </c>
    </row>
    <row r="11" spans="1:4" x14ac:dyDescent="0.25">
      <c r="A11" s="13" t="s">
        <v>94</v>
      </c>
      <c r="B11" s="26">
        <f>E48</f>
        <v>140071198</v>
      </c>
      <c r="C11" s="26">
        <f>E81</f>
        <v>127134020</v>
      </c>
      <c r="D11" s="15">
        <f>IF(C11=0,"",B11/C11-1)</f>
        <v>0.1017601582959462</v>
      </c>
    </row>
    <row r="12" spans="1:4" x14ac:dyDescent="0.25">
      <c r="A12" s="13" t="s">
        <v>95</v>
      </c>
      <c r="B12" s="26">
        <f>SUM(F19:F48)</f>
        <v>378437108</v>
      </c>
      <c r="C12" s="26">
        <f>SUM(F52:F81)</f>
        <v>314023944</v>
      </c>
      <c r="D12" s="15">
        <f>IF(C12=0,"",B12/C12-1)</f>
        <v>0.20512182344923358</v>
      </c>
    </row>
    <row r="13" spans="1:4" x14ac:dyDescent="0.25">
      <c r="A13" s="13" t="s">
        <v>96</v>
      </c>
      <c r="B13" s="26">
        <f>SUM(G19:G48)</f>
        <v>245605683</v>
      </c>
      <c r="C13" s="26">
        <f>SUM(G52:G81)</f>
        <v>203801542</v>
      </c>
      <c r="D13" s="15">
        <f>IF(C13=0,"",B13/C13-1)</f>
        <v>0.20512180913724398</v>
      </c>
    </row>
    <row r="14" spans="1:4" x14ac:dyDescent="0.25">
      <c r="A14" s="13" t="s">
        <v>97</v>
      </c>
      <c r="B14" s="26">
        <f>SUM(H19:H48)</f>
        <v>132831425</v>
      </c>
      <c r="C14" s="26">
        <f>SUM(H52:H81)</f>
        <v>110222402</v>
      </c>
      <c r="D14" s="15">
        <f>IF(C14=0,"",B14/C14-1)</f>
        <v>0.20512184991214388</v>
      </c>
    </row>
    <row r="17" spans="1:1" x14ac:dyDescent="0.25">
      <c r="A17" s="10" t="s">
        <v>39</v>
      </c>
    </row>
    <row r="18" spans="1:8" x14ac:dyDescent="0.25">
      <c r="A18" s="5" t="s">
        <v>40</v>
      </c>
      <c r="B18" s="5" t="s">
        <v>98</v>
      </c>
      <c r="C18" s="5" t="s">
        <v>99</v>
      </c>
      <c r="D18" s="5" t="s">
        <v>100</v>
      </c>
      <c r="E18" s="5" t="s">
        <v>13</v>
      </c>
      <c r="F18" s="5" t="s">
        <v>12</v>
      </c>
      <c r="G18" s="5" t="s">
        <v>101</v>
      </c>
      <c r="H18" s="5" t="s">
        <v>102</v>
      </c>
    </row>
    <row r="19" spans="1:8" x14ac:dyDescent="0.25">
      <c r="A19" s="16">
        <v>46261</v>
      </c>
      <c r="B19" s="27">
        <v>12002602</v>
      </c>
      <c r="C19" s="17">
        <v>280</v>
      </c>
      <c r="D19" s="17">
        <v>7</v>
      </c>
      <c r="E19" s="27">
        <v>128237611</v>
      </c>
      <c r="F19" s="27">
        <v>11570508</v>
      </c>
      <c r="G19" s="27">
        <v>7509260</v>
      </c>
      <c r="H19" s="27">
        <v>4061248</v>
      </c>
    </row>
    <row r="20" spans="1:8" x14ac:dyDescent="0.25">
      <c r="A20" s="16">
        <v>46262</v>
      </c>
      <c r="B20" s="27">
        <v>13031609</v>
      </c>
      <c r="C20" s="17">
        <v>280</v>
      </c>
      <c r="D20" s="17">
        <v>6</v>
      </c>
      <c r="E20" s="27">
        <v>128565164</v>
      </c>
      <c r="F20" s="27">
        <v>12562471</v>
      </c>
      <c r="G20" s="27">
        <v>8153044</v>
      </c>
      <c r="H20" s="27">
        <v>4409427</v>
      </c>
    </row>
    <row r="21" spans="1:8" x14ac:dyDescent="0.25">
      <c r="A21" s="16">
        <v>46263</v>
      </c>
      <c r="B21" s="27">
        <v>13820898</v>
      </c>
      <c r="C21" s="17">
        <v>281</v>
      </c>
      <c r="D21" s="17">
        <v>6</v>
      </c>
      <c r="E21" s="27">
        <v>129267364</v>
      </c>
      <c r="F21" s="27">
        <v>13323346</v>
      </c>
      <c r="G21" s="27">
        <v>8646852</v>
      </c>
      <c r="H21" s="27">
        <v>4676494</v>
      </c>
    </row>
    <row r="22" spans="1:8" x14ac:dyDescent="0.25">
      <c r="A22" s="16">
        <v>46264</v>
      </c>
      <c r="B22" s="27">
        <v>12464922</v>
      </c>
      <c r="C22" s="17">
        <v>282</v>
      </c>
      <c r="D22" s="17">
        <v>7</v>
      </c>
      <c r="E22" s="27">
        <v>129810748</v>
      </c>
      <c r="F22" s="27">
        <v>12016185</v>
      </c>
      <c r="G22" s="27">
        <v>7798504</v>
      </c>
      <c r="H22" s="27">
        <v>4217681</v>
      </c>
    </row>
    <row r="23" spans="1:8" x14ac:dyDescent="0.25">
      <c r="A23" s="16">
        <v>46265</v>
      </c>
      <c r="B23" s="27">
        <v>10022101</v>
      </c>
      <c r="C23" s="17">
        <v>284</v>
      </c>
      <c r="D23" s="17">
        <v>8</v>
      </c>
      <c r="E23" s="27">
        <v>130307122</v>
      </c>
      <c r="F23" s="27">
        <v>9661305</v>
      </c>
      <c r="G23" s="27">
        <v>6270187</v>
      </c>
      <c r="H23" s="27">
        <v>3391118</v>
      </c>
    </row>
    <row r="24" spans="1:8" x14ac:dyDescent="0.25">
      <c r="A24" s="16">
        <v>46266</v>
      </c>
      <c r="B24" s="27">
        <v>9074758</v>
      </c>
      <c r="C24" s="17">
        <v>286</v>
      </c>
      <c r="D24" s="17">
        <v>9</v>
      </c>
      <c r="E24" s="27">
        <v>130725034</v>
      </c>
      <c r="F24" s="27">
        <v>8748067</v>
      </c>
      <c r="G24" s="27">
        <v>5677495</v>
      </c>
      <c r="H24" s="27">
        <v>3070572</v>
      </c>
    </row>
    <row r="25" spans="1:8" x14ac:dyDescent="0.25">
      <c r="A25" s="16">
        <v>46267</v>
      </c>
      <c r="B25" s="27">
        <v>10946923</v>
      </c>
      <c r="C25" s="17">
        <v>287</v>
      </c>
      <c r="D25" s="17">
        <v>8</v>
      </c>
      <c r="E25" s="27">
        <v>130916422</v>
      </c>
      <c r="F25" s="27">
        <v>10552834</v>
      </c>
      <c r="G25" s="27">
        <v>6848789</v>
      </c>
      <c r="H25" s="27">
        <v>3704045</v>
      </c>
    </row>
    <row r="26" spans="1:8" x14ac:dyDescent="0.25">
      <c r="A26" s="16">
        <v>46268</v>
      </c>
      <c r="B26" s="27">
        <v>12066991</v>
      </c>
      <c r="C26" s="17">
        <v>286</v>
      </c>
      <c r="D26" s="17">
        <v>7</v>
      </c>
      <c r="E26" s="27">
        <v>131358368</v>
      </c>
      <c r="F26" s="27">
        <v>11632579</v>
      </c>
      <c r="G26" s="27">
        <v>7549544</v>
      </c>
      <c r="H26" s="27">
        <v>4083035</v>
      </c>
    </row>
    <row r="27" spans="1:8" x14ac:dyDescent="0.25">
      <c r="A27" s="16">
        <v>46269</v>
      </c>
      <c r="B27" s="27">
        <v>14539852</v>
      </c>
      <c r="C27" s="17">
        <v>287</v>
      </c>
      <c r="D27" s="17">
        <v>6</v>
      </c>
      <c r="E27" s="27">
        <v>130956353</v>
      </c>
      <c r="F27" s="27">
        <v>14016417</v>
      </c>
      <c r="G27" s="27">
        <v>9096655</v>
      </c>
      <c r="H27" s="27">
        <v>4919762</v>
      </c>
    </row>
    <row r="28" spans="1:8" x14ac:dyDescent="0.25">
      <c r="A28" s="16">
        <v>46270</v>
      </c>
      <c r="B28" s="27">
        <v>13638230</v>
      </c>
      <c r="C28" s="17">
        <v>290</v>
      </c>
      <c r="D28" s="17">
        <v>7</v>
      </c>
      <c r="E28" s="27">
        <v>131894824</v>
      </c>
      <c r="F28" s="27">
        <v>13147254</v>
      </c>
      <c r="G28" s="27">
        <v>8532568</v>
      </c>
      <c r="H28" s="27">
        <v>4614686</v>
      </c>
    </row>
    <row r="29" spans="1:8" x14ac:dyDescent="0.25">
      <c r="A29" s="16">
        <v>46271</v>
      </c>
      <c r="B29" s="27">
        <v>12918175</v>
      </c>
      <c r="C29" s="17">
        <v>290</v>
      </c>
      <c r="D29" s="17">
        <v>7</v>
      </c>
      <c r="E29" s="27">
        <v>132727234</v>
      </c>
      <c r="F29" s="27">
        <v>12453121</v>
      </c>
      <c r="G29" s="27">
        <v>8082076</v>
      </c>
      <c r="H29" s="27">
        <v>4371045</v>
      </c>
    </row>
    <row r="30" spans="1:8" x14ac:dyDescent="0.25">
      <c r="A30" s="16">
        <v>46272</v>
      </c>
      <c r="B30" s="27">
        <v>10606084</v>
      </c>
      <c r="C30" s="17">
        <v>292</v>
      </c>
      <c r="D30" s="17">
        <v>8</v>
      </c>
      <c r="E30" s="27">
        <v>132589432</v>
      </c>
      <c r="F30" s="27">
        <v>10224265</v>
      </c>
      <c r="G30" s="27">
        <v>6635548</v>
      </c>
      <c r="H30" s="27">
        <v>3588717</v>
      </c>
    </row>
    <row r="31" spans="1:8" x14ac:dyDescent="0.25">
      <c r="A31" s="16">
        <v>46273</v>
      </c>
      <c r="B31" s="27">
        <v>10893312</v>
      </c>
      <c r="C31" s="17">
        <v>294</v>
      </c>
      <c r="D31" s="17">
        <v>9</v>
      </c>
      <c r="E31" s="27">
        <v>133113464</v>
      </c>
      <c r="F31" s="27">
        <v>10501153</v>
      </c>
      <c r="G31" s="27">
        <v>6815248</v>
      </c>
      <c r="H31" s="27">
        <v>3685905</v>
      </c>
    </row>
    <row r="32" spans="1:8" x14ac:dyDescent="0.25">
      <c r="A32" s="16">
        <v>46274</v>
      </c>
      <c r="B32" s="27">
        <v>11192103</v>
      </c>
      <c r="C32" s="17">
        <v>294</v>
      </c>
      <c r="D32" s="17">
        <v>9</v>
      </c>
      <c r="E32" s="27">
        <v>133447611</v>
      </c>
      <c r="F32" s="27">
        <v>10789187</v>
      </c>
      <c r="G32" s="27">
        <v>7002182</v>
      </c>
      <c r="H32" s="27">
        <v>3787005</v>
      </c>
    </row>
    <row r="33" spans="1:8" x14ac:dyDescent="0.25">
      <c r="A33" s="16">
        <v>46275</v>
      </c>
      <c r="B33" s="27">
        <v>13508280</v>
      </c>
      <c r="C33" s="17">
        <v>295</v>
      </c>
      <c r="D33" s="17">
        <v>8</v>
      </c>
      <c r="E33" s="27">
        <v>134463999</v>
      </c>
      <c r="F33" s="27">
        <v>13021982</v>
      </c>
      <c r="G33" s="27">
        <v>8451266</v>
      </c>
      <c r="H33" s="27">
        <v>4570716</v>
      </c>
    </row>
    <row r="34" spans="1:8" x14ac:dyDescent="0.25">
      <c r="A34" s="16">
        <v>46276</v>
      </c>
      <c r="B34" s="27">
        <v>15679134</v>
      </c>
      <c r="C34" s="17">
        <v>298</v>
      </c>
      <c r="D34" s="17">
        <v>6</v>
      </c>
      <c r="E34" s="27">
        <v>134917029</v>
      </c>
      <c r="F34" s="27">
        <v>15114685</v>
      </c>
      <c r="G34" s="27">
        <v>9809431</v>
      </c>
      <c r="H34" s="27">
        <v>5305254</v>
      </c>
    </row>
    <row r="35" spans="1:8" x14ac:dyDescent="0.25">
      <c r="A35" s="16">
        <v>46277</v>
      </c>
      <c r="B35" s="27">
        <v>15313826</v>
      </c>
      <c r="C35" s="17">
        <v>298</v>
      </c>
      <c r="D35" s="17">
        <v>6</v>
      </c>
      <c r="E35" s="27">
        <v>134723988</v>
      </c>
      <c r="F35" s="27">
        <v>14762528</v>
      </c>
      <c r="G35" s="27">
        <v>9580881</v>
      </c>
      <c r="H35" s="27">
        <v>5181647</v>
      </c>
    </row>
    <row r="36" spans="1:8" x14ac:dyDescent="0.25">
      <c r="A36" s="16">
        <v>46278</v>
      </c>
      <c r="B36" s="27">
        <v>13309119</v>
      </c>
      <c r="C36" s="17">
        <v>299</v>
      </c>
      <c r="D36" s="17">
        <v>8</v>
      </c>
      <c r="E36" s="27">
        <v>135180331</v>
      </c>
      <c r="F36" s="27">
        <v>12829991</v>
      </c>
      <c r="G36" s="27">
        <v>8326664</v>
      </c>
      <c r="H36" s="27">
        <v>4503327</v>
      </c>
    </row>
    <row r="37" spans="1:8" x14ac:dyDescent="0.25">
      <c r="A37" s="16">
        <v>46279</v>
      </c>
      <c r="B37" s="27">
        <v>12220751</v>
      </c>
      <c r="C37" s="17">
        <v>301</v>
      </c>
      <c r="D37" s="17">
        <v>9</v>
      </c>
      <c r="E37" s="27">
        <v>134955057</v>
      </c>
      <c r="F37" s="27">
        <v>11780804</v>
      </c>
      <c r="G37" s="27">
        <v>7645742</v>
      </c>
      <c r="H37" s="27">
        <v>4135062</v>
      </c>
    </row>
    <row r="38" spans="1:8" x14ac:dyDescent="0.25">
      <c r="A38" s="16">
        <v>46280</v>
      </c>
      <c r="B38" s="27">
        <v>11172305</v>
      </c>
      <c r="C38" s="17">
        <v>302</v>
      </c>
      <c r="D38" s="17">
        <v>9</v>
      </c>
      <c r="E38" s="27">
        <v>136310114</v>
      </c>
      <c r="F38" s="27">
        <v>10770102</v>
      </c>
      <c r="G38" s="27">
        <v>6989796</v>
      </c>
      <c r="H38" s="27">
        <v>3780306</v>
      </c>
    </row>
    <row r="39" spans="1:8" x14ac:dyDescent="0.25">
      <c r="A39" s="16">
        <v>46281</v>
      </c>
      <c r="B39" s="27">
        <v>11894041</v>
      </c>
      <c r="C39" s="17">
        <v>303</v>
      </c>
      <c r="D39" s="17">
        <v>9</v>
      </c>
      <c r="E39" s="27">
        <v>136187003</v>
      </c>
      <c r="F39" s="27">
        <v>11465856</v>
      </c>
      <c r="G39" s="27">
        <v>7441341</v>
      </c>
      <c r="H39" s="27">
        <v>4024515</v>
      </c>
    </row>
    <row r="40" spans="1:8" x14ac:dyDescent="0.25">
      <c r="A40" s="16">
        <v>46282</v>
      </c>
      <c r="B40" s="27">
        <v>14717939</v>
      </c>
      <c r="C40" s="17">
        <v>303</v>
      </c>
      <c r="D40" s="17">
        <v>8</v>
      </c>
      <c r="E40" s="27">
        <v>137241717</v>
      </c>
      <c r="F40" s="27">
        <v>14188093</v>
      </c>
      <c r="G40" s="27">
        <v>9208072</v>
      </c>
      <c r="H40" s="27">
        <v>4980021</v>
      </c>
    </row>
    <row r="41" spans="1:8" x14ac:dyDescent="0.25">
      <c r="A41" s="16">
        <v>46283</v>
      </c>
      <c r="B41" s="27">
        <v>16597362</v>
      </c>
      <c r="C41" s="17">
        <v>304</v>
      </c>
      <c r="D41" s="17">
        <v>6</v>
      </c>
      <c r="E41" s="27">
        <v>137572927</v>
      </c>
      <c r="F41" s="27">
        <v>15999857</v>
      </c>
      <c r="G41" s="27">
        <v>10383907</v>
      </c>
      <c r="H41" s="27">
        <v>5615950</v>
      </c>
    </row>
    <row r="42" spans="1:8" x14ac:dyDescent="0.25">
      <c r="A42" s="16">
        <v>46284</v>
      </c>
      <c r="B42" s="27">
        <v>16561780</v>
      </c>
      <c r="C42" s="17">
        <v>305</v>
      </c>
      <c r="D42" s="17">
        <v>7</v>
      </c>
      <c r="E42" s="27">
        <v>137159360</v>
      </c>
      <c r="F42" s="27">
        <v>15965556</v>
      </c>
      <c r="G42" s="27">
        <v>10361646</v>
      </c>
      <c r="H42" s="27">
        <v>5603910</v>
      </c>
    </row>
    <row r="43" spans="1:8" x14ac:dyDescent="0.25">
      <c r="A43" s="16">
        <v>46285</v>
      </c>
      <c r="B43" s="27">
        <v>14645611</v>
      </c>
      <c r="C43" s="17">
        <v>306</v>
      </c>
      <c r="D43" s="17">
        <v>8</v>
      </c>
      <c r="E43" s="27">
        <v>138193139</v>
      </c>
      <c r="F43" s="27">
        <v>14118369</v>
      </c>
      <c r="G43" s="27">
        <v>9162821</v>
      </c>
      <c r="H43" s="27">
        <v>4955548</v>
      </c>
    </row>
    <row r="44" spans="1:8" x14ac:dyDescent="0.25">
      <c r="A44" s="16">
        <v>46286</v>
      </c>
      <c r="B44" s="27">
        <v>12473916</v>
      </c>
      <c r="C44" s="17">
        <v>309</v>
      </c>
      <c r="D44" s="17">
        <v>9</v>
      </c>
      <c r="E44" s="27">
        <v>138795251</v>
      </c>
      <c r="F44" s="27">
        <v>12024855</v>
      </c>
      <c r="G44" s="27">
        <v>7804131</v>
      </c>
      <c r="H44" s="27">
        <v>4220724</v>
      </c>
    </row>
    <row r="45" spans="1:8" x14ac:dyDescent="0.25">
      <c r="A45" s="16">
        <v>46287</v>
      </c>
      <c r="B45" s="27">
        <v>12071001</v>
      </c>
      <c r="C45" s="17">
        <v>308</v>
      </c>
      <c r="D45" s="17">
        <v>9</v>
      </c>
      <c r="E45" s="27">
        <v>138298494</v>
      </c>
      <c r="F45" s="27">
        <v>11636445</v>
      </c>
      <c r="G45" s="27">
        <v>7552053</v>
      </c>
      <c r="H45" s="27">
        <v>4084392</v>
      </c>
    </row>
    <row r="46" spans="1:8" x14ac:dyDescent="0.25">
      <c r="A46" s="16">
        <v>46288</v>
      </c>
      <c r="B46" s="27">
        <v>12695525</v>
      </c>
      <c r="C46" s="17">
        <v>311</v>
      </c>
      <c r="D46" s="17">
        <v>9</v>
      </c>
      <c r="E46" s="27">
        <v>139308180</v>
      </c>
      <c r="F46" s="27">
        <v>12238486</v>
      </c>
      <c r="G46" s="27">
        <v>7942777</v>
      </c>
      <c r="H46" s="27">
        <v>4295709</v>
      </c>
    </row>
    <row r="47" spans="1:8" x14ac:dyDescent="0.25">
      <c r="A47" s="16">
        <v>46289</v>
      </c>
      <c r="B47" s="27">
        <v>15264755</v>
      </c>
      <c r="C47" s="17">
        <v>311</v>
      </c>
      <c r="D47" s="17">
        <v>8</v>
      </c>
      <c r="E47" s="27">
        <v>139852376</v>
      </c>
      <c r="F47" s="27">
        <v>14715224</v>
      </c>
      <c r="G47" s="27">
        <v>9550180</v>
      </c>
      <c r="H47" s="27">
        <v>5165044</v>
      </c>
    </row>
    <row r="48" spans="1:8" x14ac:dyDescent="0.25">
      <c r="A48" s="16">
        <v>46290</v>
      </c>
      <c r="B48" s="27">
        <v>17225709</v>
      </c>
      <c r="C48" s="17">
        <v>312</v>
      </c>
      <c r="D48" s="17">
        <v>7</v>
      </c>
      <c r="E48" s="27">
        <v>140071198</v>
      </c>
      <c r="F48" s="27">
        <v>16605583</v>
      </c>
      <c r="G48" s="27">
        <v>10777023</v>
      </c>
      <c r="H48" s="27">
        <v>5828560</v>
      </c>
    </row>
    <row r="50" spans="1:1" x14ac:dyDescent="0.25">
      <c r="A50" s="10" t="s">
        <v>41</v>
      </c>
    </row>
    <row r="51" spans="1:8" x14ac:dyDescent="0.25">
      <c r="A51" s="5" t="s">
        <v>40</v>
      </c>
      <c r="B51" s="5" t="s">
        <v>98</v>
      </c>
      <c r="C51" s="5" t="s">
        <v>99</v>
      </c>
      <c r="D51" s="5" t="s">
        <v>100</v>
      </c>
      <c r="E51" s="5" t="s">
        <v>13</v>
      </c>
      <c r="F51" s="5" t="s">
        <v>12</v>
      </c>
      <c r="G51" s="5" t="s">
        <v>101</v>
      </c>
      <c r="H51" s="5" t="s">
        <v>102</v>
      </c>
    </row>
    <row r="52" spans="1:8" x14ac:dyDescent="0.25">
      <c r="A52" s="16">
        <v>46231</v>
      </c>
      <c r="B52" s="27">
        <v>11289479</v>
      </c>
      <c r="C52" s="17">
        <v>246</v>
      </c>
      <c r="D52" s="17">
        <v>5</v>
      </c>
      <c r="E52" s="27">
        <v>115301066</v>
      </c>
      <c r="F52" s="27">
        <v>10883058</v>
      </c>
      <c r="G52" s="27">
        <v>7063105</v>
      </c>
      <c r="H52" s="27">
        <v>3819953</v>
      </c>
    </row>
    <row r="53" spans="1:8" x14ac:dyDescent="0.25">
      <c r="A53" s="16">
        <v>46232</v>
      </c>
      <c r="B53" s="27">
        <v>11631697</v>
      </c>
      <c r="C53" s="17">
        <v>249</v>
      </c>
      <c r="D53" s="17">
        <v>5</v>
      </c>
      <c r="E53" s="27">
        <v>115828481</v>
      </c>
      <c r="F53" s="27">
        <v>11212956</v>
      </c>
      <c r="G53" s="27">
        <v>7277208</v>
      </c>
      <c r="H53" s="27">
        <v>3935748</v>
      </c>
    </row>
    <row r="54" spans="1:8" x14ac:dyDescent="0.25">
      <c r="A54" s="16">
        <v>46233</v>
      </c>
      <c r="B54" s="27">
        <v>11133062</v>
      </c>
      <c r="C54" s="17">
        <v>249</v>
      </c>
      <c r="D54" s="17">
        <v>6</v>
      </c>
      <c r="E54" s="27">
        <v>116779556</v>
      </c>
      <c r="F54" s="27">
        <v>10732272</v>
      </c>
      <c r="G54" s="27">
        <v>6965245</v>
      </c>
      <c r="H54" s="27">
        <v>3767027</v>
      </c>
    </row>
    <row r="55" spans="1:8" x14ac:dyDescent="0.25">
      <c r="A55" s="16">
        <v>46234</v>
      </c>
      <c r="B55" s="27">
        <v>9117165</v>
      </c>
      <c r="C55" s="17">
        <v>250</v>
      </c>
      <c r="D55" s="17">
        <v>7</v>
      </c>
      <c r="E55" s="27">
        <v>116143684</v>
      </c>
      <c r="F55" s="27">
        <v>8788947</v>
      </c>
      <c r="G55" s="27">
        <v>5704027</v>
      </c>
      <c r="H55" s="27">
        <v>3084920</v>
      </c>
    </row>
    <row r="56" spans="1:8" x14ac:dyDescent="0.25">
      <c r="A56" s="16">
        <v>46235</v>
      </c>
      <c r="B56" s="27">
        <v>8957400</v>
      </c>
      <c r="C56" s="17">
        <v>250</v>
      </c>
      <c r="D56" s="17">
        <v>7</v>
      </c>
      <c r="E56" s="27">
        <v>117020184</v>
      </c>
      <c r="F56" s="27">
        <v>8634934</v>
      </c>
      <c r="G56" s="27">
        <v>5604072</v>
      </c>
      <c r="H56" s="27">
        <v>3030862</v>
      </c>
    </row>
    <row r="57" spans="1:8" x14ac:dyDescent="0.25">
      <c r="A57" s="16">
        <v>46236</v>
      </c>
      <c r="B57" s="27">
        <v>8290071</v>
      </c>
      <c r="C57" s="17">
        <v>251</v>
      </c>
      <c r="D57" s="17">
        <v>7</v>
      </c>
      <c r="E57" s="27">
        <v>117049036</v>
      </c>
      <c r="F57" s="27">
        <v>7991628</v>
      </c>
      <c r="G57" s="27">
        <v>5186567</v>
      </c>
      <c r="H57" s="27">
        <v>2805061</v>
      </c>
    </row>
    <row r="58" spans="1:8" x14ac:dyDescent="0.25">
      <c r="A58" s="16">
        <v>46237</v>
      </c>
      <c r="B58" s="27">
        <v>10569113</v>
      </c>
      <c r="C58" s="17">
        <v>254</v>
      </c>
      <c r="D58" s="17">
        <v>7</v>
      </c>
      <c r="E58" s="27">
        <v>117356935</v>
      </c>
      <c r="F58" s="27">
        <v>10188625</v>
      </c>
      <c r="G58" s="27">
        <v>6612418</v>
      </c>
      <c r="H58" s="27">
        <v>3576207</v>
      </c>
    </row>
    <row r="59" spans="1:8" x14ac:dyDescent="0.25">
      <c r="A59" s="16">
        <v>46238</v>
      </c>
      <c r="B59" s="27">
        <v>11662244</v>
      </c>
      <c r="C59" s="17">
        <v>254</v>
      </c>
      <c r="D59" s="17">
        <v>5</v>
      </c>
      <c r="E59" s="27">
        <v>117908266</v>
      </c>
      <c r="F59" s="27">
        <v>11242403</v>
      </c>
      <c r="G59" s="27">
        <v>7296320</v>
      </c>
      <c r="H59" s="27">
        <v>3946083</v>
      </c>
    </row>
    <row r="60" spans="1:8" x14ac:dyDescent="0.25">
      <c r="A60" s="16">
        <v>46239</v>
      </c>
      <c r="B60" s="27">
        <v>11732058</v>
      </c>
      <c r="C60" s="17">
        <v>255</v>
      </c>
      <c r="D60" s="17">
        <v>5</v>
      </c>
      <c r="E60" s="27">
        <v>118458722</v>
      </c>
      <c r="F60" s="27">
        <v>11309704</v>
      </c>
      <c r="G60" s="27">
        <v>7339998</v>
      </c>
      <c r="H60" s="27">
        <v>3969706</v>
      </c>
    </row>
    <row r="61" spans="1:8" x14ac:dyDescent="0.25">
      <c r="A61" s="16">
        <v>46240</v>
      </c>
      <c r="B61" s="27">
        <v>11614148</v>
      </c>
      <c r="C61" s="17">
        <v>257</v>
      </c>
      <c r="D61" s="17">
        <v>6</v>
      </c>
      <c r="E61" s="27">
        <v>118680978</v>
      </c>
      <c r="F61" s="27">
        <v>11196039</v>
      </c>
      <c r="G61" s="27">
        <v>7266229</v>
      </c>
      <c r="H61" s="27">
        <v>3929810</v>
      </c>
    </row>
    <row r="62" spans="1:8" x14ac:dyDescent="0.25">
      <c r="A62" s="16">
        <v>46241</v>
      </c>
      <c r="B62" s="27">
        <v>9354830</v>
      </c>
      <c r="C62" s="17">
        <v>257</v>
      </c>
      <c r="D62" s="17">
        <v>7</v>
      </c>
      <c r="E62" s="27">
        <v>119008321</v>
      </c>
      <c r="F62" s="27">
        <v>9018056</v>
      </c>
      <c r="G62" s="27">
        <v>5852718</v>
      </c>
      <c r="H62" s="27">
        <v>3165338</v>
      </c>
    </row>
    <row r="63" spans="1:8" x14ac:dyDescent="0.25">
      <c r="A63" s="16">
        <v>46242</v>
      </c>
      <c r="B63" s="27">
        <v>8088864</v>
      </c>
      <c r="C63" s="17">
        <v>260</v>
      </c>
      <c r="D63" s="17">
        <v>8</v>
      </c>
      <c r="E63" s="27">
        <v>120622560</v>
      </c>
      <c r="F63" s="27">
        <v>7797665</v>
      </c>
      <c r="G63" s="27">
        <v>5060685</v>
      </c>
      <c r="H63" s="27">
        <v>2736980</v>
      </c>
    </row>
    <row r="64" spans="1:8" x14ac:dyDescent="0.25">
      <c r="A64" s="16">
        <v>46243</v>
      </c>
      <c r="B64" s="27">
        <v>9703607</v>
      </c>
      <c r="C64" s="17">
        <v>260</v>
      </c>
      <c r="D64" s="17">
        <v>7</v>
      </c>
      <c r="E64" s="27">
        <v>119938194</v>
      </c>
      <c r="F64" s="27">
        <v>9354277</v>
      </c>
      <c r="G64" s="27">
        <v>6070926</v>
      </c>
      <c r="H64" s="27">
        <v>3283351</v>
      </c>
    </row>
    <row r="65" spans="1:8" x14ac:dyDescent="0.25">
      <c r="A65" s="16">
        <v>46244</v>
      </c>
      <c r="B65" s="27">
        <v>10721758</v>
      </c>
      <c r="C65" s="17">
        <v>260</v>
      </c>
      <c r="D65" s="17">
        <v>7</v>
      </c>
      <c r="E65" s="27">
        <v>120681811</v>
      </c>
      <c r="F65" s="27">
        <v>10335775</v>
      </c>
      <c r="G65" s="27">
        <v>6707918</v>
      </c>
      <c r="H65" s="27">
        <v>3627857</v>
      </c>
    </row>
    <row r="66" spans="1:8" x14ac:dyDescent="0.25">
      <c r="A66" s="16">
        <v>46245</v>
      </c>
      <c r="B66" s="27">
        <v>12090146</v>
      </c>
      <c r="C66" s="17">
        <v>261</v>
      </c>
      <c r="D66" s="17">
        <v>6</v>
      </c>
      <c r="E66" s="27">
        <v>121745978</v>
      </c>
      <c r="F66" s="27">
        <v>11654901</v>
      </c>
      <c r="G66" s="27">
        <v>7564031</v>
      </c>
      <c r="H66" s="27">
        <v>4090870</v>
      </c>
    </row>
    <row r="67" spans="1:8" x14ac:dyDescent="0.25">
      <c r="A67" s="16">
        <v>46246</v>
      </c>
      <c r="B67" s="27">
        <v>12676986</v>
      </c>
      <c r="C67" s="17">
        <v>263</v>
      </c>
      <c r="D67" s="17">
        <v>5</v>
      </c>
      <c r="E67" s="27">
        <v>122186828</v>
      </c>
      <c r="F67" s="27">
        <v>12220615</v>
      </c>
      <c r="G67" s="27">
        <v>7931179</v>
      </c>
      <c r="H67" s="27">
        <v>4289436</v>
      </c>
    </row>
    <row r="68" spans="1:8" x14ac:dyDescent="0.25">
      <c r="A68" s="16">
        <v>46247</v>
      </c>
      <c r="B68" s="27">
        <v>11036933</v>
      </c>
      <c r="C68" s="17">
        <v>266</v>
      </c>
      <c r="D68" s="17">
        <v>6</v>
      </c>
      <c r="E68" s="27">
        <v>122675012</v>
      </c>
      <c r="F68" s="27">
        <v>10639603</v>
      </c>
      <c r="G68" s="27">
        <v>6905102</v>
      </c>
      <c r="H68" s="27">
        <v>3734501</v>
      </c>
    </row>
    <row r="69" spans="1:8" x14ac:dyDescent="0.25">
      <c r="A69" s="16">
        <v>46248</v>
      </c>
      <c r="B69" s="27">
        <v>10509031</v>
      </c>
      <c r="C69" s="17">
        <v>264</v>
      </c>
      <c r="D69" s="17">
        <v>7</v>
      </c>
      <c r="E69" s="27">
        <v>123078618</v>
      </c>
      <c r="F69" s="27">
        <v>10130706</v>
      </c>
      <c r="G69" s="27">
        <v>6574828</v>
      </c>
      <c r="H69" s="27">
        <v>3555878</v>
      </c>
    </row>
    <row r="70" spans="1:8" x14ac:dyDescent="0.25">
      <c r="A70" s="16">
        <v>46249</v>
      </c>
      <c r="B70" s="27">
        <v>9042374</v>
      </c>
      <c r="C70" s="17">
        <v>268</v>
      </c>
      <c r="D70" s="17">
        <v>8</v>
      </c>
      <c r="E70" s="27">
        <v>123161987</v>
      </c>
      <c r="F70" s="27">
        <v>8716849</v>
      </c>
      <c r="G70" s="27">
        <v>5657235</v>
      </c>
      <c r="H70" s="27">
        <v>3059614</v>
      </c>
    </row>
    <row r="71" spans="1:8" x14ac:dyDescent="0.25">
      <c r="A71" s="16">
        <v>46250</v>
      </c>
      <c r="B71" s="27">
        <v>9188756</v>
      </c>
      <c r="C71" s="17">
        <v>267</v>
      </c>
      <c r="D71" s="17">
        <v>8</v>
      </c>
      <c r="E71" s="27">
        <v>123158254</v>
      </c>
      <c r="F71" s="27">
        <v>8857961</v>
      </c>
      <c r="G71" s="27">
        <v>5748817</v>
      </c>
      <c r="H71" s="27">
        <v>3109144</v>
      </c>
    </row>
    <row r="72" spans="1:8" x14ac:dyDescent="0.25">
      <c r="A72" s="16">
        <v>46251</v>
      </c>
      <c r="B72" s="27">
        <v>10928062</v>
      </c>
      <c r="C72" s="17">
        <v>268</v>
      </c>
      <c r="D72" s="17">
        <v>6</v>
      </c>
      <c r="E72" s="27">
        <v>123933560</v>
      </c>
      <c r="F72" s="27">
        <v>10534652</v>
      </c>
      <c r="G72" s="27">
        <v>6836989</v>
      </c>
      <c r="H72" s="27">
        <v>3697663</v>
      </c>
    </row>
    <row r="73" spans="1:8" x14ac:dyDescent="0.25">
      <c r="A73" s="16">
        <v>46252</v>
      </c>
      <c r="B73" s="27">
        <v>12937219</v>
      </c>
      <c r="C73" s="17">
        <v>270</v>
      </c>
      <c r="D73" s="17">
        <v>6</v>
      </c>
      <c r="E73" s="27">
        <v>123930923</v>
      </c>
      <c r="F73" s="27">
        <v>12471479</v>
      </c>
      <c r="G73" s="27">
        <v>8093990</v>
      </c>
      <c r="H73" s="27">
        <v>4377489</v>
      </c>
    </row>
    <row r="74" spans="1:8" x14ac:dyDescent="0.25">
      <c r="A74" s="16">
        <v>46253</v>
      </c>
      <c r="B74" s="27">
        <v>12748301</v>
      </c>
      <c r="C74" s="17">
        <v>270</v>
      </c>
      <c r="D74" s="17">
        <v>5</v>
      </c>
      <c r="E74" s="27">
        <v>125041176</v>
      </c>
      <c r="F74" s="27">
        <v>12289362</v>
      </c>
      <c r="G74" s="27">
        <v>7975796</v>
      </c>
      <c r="H74" s="27">
        <v>4313566</v>
      </c>
    </row>
    <row r="75" spans="1:8" x14ac:dyDescent="0.25">
      <c r="A75" s="16">
        <v>46254</v>
      </c>
      <c r="B75" s="27">
        <v>12479607</v>
      </c>
      <c r="C75" s="17">
        <v>274</v>
      </c>
      <c r="D75" s="17">
        <v>6</v>
      </c>
      <c r="E75" s="27">
        <v>125317570</v>
      </c>
      <c r="F75" s="27">
        <v>12030341</v>
      </c>
      <c r="G75" s="27">
        <v>7807691</v>
      </c>
      <c r="H75" s="27">
        <v>4222650</v>
      </c>
    </row>
    <row r="76" spans="1:8" x14ac:dyDescent="0.25">
      <c r="A76" s="16">
        <v>46255</v>
      </c>
      <c r="B76" s="27">
        <v>10644103</v>
      </c>
      <c r="C76" s="17">
        <v>273</v>
      </c>
      <c r="D76" s="17">
        <v>7</v>
      </c>
      <c r="E76" s="27">
        <v>125657880</v>
      </c>
      <c r="F76" s="27">
        <v>10260915</v>
      </c>
      <c r="G76" s="27">
        <v>6659334</v>
      </c>
      <c r="H76" s="27">
        <v>3601581</v>
      </c>
    </row>
    <row r="77" spans="1:8" x14ac:dyDescent="0.25">
      <c r="A77" s="16">
        <v>46256</v>
      </c>
      <c r="B77" s="27">
        <v>9384956</v>
      </c>
      <c r="C77" s="17">
        <v>273</v>
      </c>
      <c r="D77" s="17">
        <v>8</v>
      </c>
      <c r="E77" s="27">
        <v>125354178</v>
      </c>
      <c r="F77" s="27">
        <v>9047098</v>
      </c>
      <c r="G77" s="27">
        <v>5871567</v>
      </c>
      <c r="H77" s="27">
        <v>3175531</v>
      </c>
    </row>
    <row r="78" spans="1:8" x14ac:dyDescent="0.25">
      <c r="A78" s="16">
        <v>46257</v>
      </c>
      <c r="B78" s="27">
        <v>9824873</v>
      </c>
      <c r="C78" s="17">
        <v>276</v>
      </c>
      <c r="D78" s="17">
        <v>8</v>
      </c>
      <c r="E78" s="27">
        <v>126185710</v>
      </c>
      <c r="F78" s="27">
        <v>9471178</v>
      </c>
      <c r="G78" s="27">
        <v>6146795</v>
      </c>
      <c r="H78" s="27">
        <v>3324383</v>
      </c>
    </row>
    <row r="79" spans="1:8" x14ac:dyDescent="0.25">
      <c r="A79" s="16">
        <v>46258</v>
      </c>
      <c r="B79" s="27">
        <v>11667230</v>
      </c>
      <c r="C79" s="17">
        <v>278</v>
      </c>
      <c r="D79" s="17">
        <v>6</v>
      </c>
      <c r="E79" s="27">
        <v>126345619</v>
      </c>
      <c r="F79" s="27">
        <v>11247210</v>
      </c>
      <c r="G79" s="27">
        <v>7299439</v>
      </c>
      <c r="H79" s="27">
        <v>3947771</v>
      </c>
    </row>
    <row r="80" spans="1:8" x14ac:dyDescent="0.25">
      <c r="A80" s="16">
        <v>46259</v>
      </c>
      <c r="B80" s="27">
        <v>12919756</v>
      </c>
      <c r="C80" s="17">
        <v>279</v>
      </c>
      <c r="D80" s="17">
        <v>6</v>
      </c>
      <c r="E80" s="27">
        <v>127474280</v>
      </c>
      <c r="F80" s="27">
        <v>12454645</v>
      </c>
      <c r="G80" s="27">
        <v>8083065</v>
      </c>
      <c r="H80" s="27">
        <v>4371580</v>
      </c>
    </row>
    <row r="81" spans="1:8" x14ac:dyDescent="0.25">
      <c r="A81" s="16">
        <v>46260</v>
      </c>
      <c r="B81" s="27">
        <v>13807147</v>
      </c>
      <c r="C81" s="17">
        <v>279</v>
      </c>
      <c r="D81" s="17">
        <v>6</v>
      </c>
      <c r="E81" s="27">
        <v>127134020</v>
      </c>
      <c r="F81" s="27">
        <v>13310090</v>
      </c>
      <c r="G81" s="27">
        <v>8638248</v>
      </c>
      <c r="H81" s="27">
        <v>4671842</v>
      </c>
    </row>
    <row r="84" spans="1:1" x14ac:dyDescent="0.25">
      <c r="A84" s="10" t="s">
        <v>103</v>
      </c>
    </row>
    <row r="85" spans="1:2" x14ac:dyDescent="0.25">
      <c r="A85" s="12" t="s">
        <v>104</v>
      </c>
      <c r="B85" s="28">
        <f>B11*12</f>
        <v>1680854376</v>
      </c>
    </row>
    <row r="86" spans="1:2" x14ac:dyDescent="0.25">
      <c r="A86" s="12" t="s">
        <v>105</v>
      </c>
      <c r="B86" s="18">
        <f>1-B12/B8</f>
        <v>0.035999999735078836</v>
      </c>
    </row>
    <row r="87" spans="1:2" x14ac:dyDescent="0.25">
      <c r="A87" s="12" t="s">
        <v>106</v>
      </c>
      <c r="B87" s="18">
        <f>B14/B12</f>
        <v>0.3510000002431051</v>
      </c>
    </row>
    <row r="88" spans="1:2" x14ac:dyDescent="0.25">
      <c r="A88" s="12" t="s">
        <v>107</v>
      </c>
      <c r="B88" s="27">
        <v>475000</v>
      </c>
    </row>
    <row r="89" spans="1:2" x14ac:dyDescent="0.25">
      <c r="A89" s="12" t="s">
        <v>108</v>
      </c>
      <c r="B89" s="27">
        <v>82000</v>
      </c>
    </row>
    <row r="90" spans="1:2" x14ac:dyDescent="0.25">
      <c r="A90" s="12" t="s">
        <v>109</v>
      </c>
      <c r="B90" s="25">
        <v>0.032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workbookViewId="0" showGridLines="0">
      <pane xSplit="1" ySplit="7" topLeftCell="B8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4" width="20" customWidth="1"/>
  </cols>
  <sheetData>
    <row r="1" spans="1:1" x14ac:dyDescent="0.25">
      <c r="A1" s="1" t="s">
        <v>110</v>
      </c>
    </row>
    <row r="2" spans="1:1" x14ac:dyDescent="0.25">
      <c r="A2" s="2" t="s">
        <v>33</v>
      </c>
    </row>
    <row r="3" spans="1:1" x14ac:dyDescent="0.25">
      <c r="A3" s="3" t="s">
        <v>2</v>
      </c>
    </row>
    <row r="4" spans="1:1" x14ac:dyDescent="0.25">
      <c r="A4" s="4" t="s">
        <v>111</v>
      </c>
    </row>
    <row r="6" spans="1:1" x14ac:dyDescent="0.25">
      <c r="A6" s="10" t="s">
        <v>35</v>
      </c>
    </row>
    <row r="7" spans="1:4" x14ac:dyDescent="0.25">
      <c r="A7" s="5" t="s">
        <v>36</v>
      </c>
      <c r="B7" s="5" t="s">
        <v>5</v>
      </c>
      <c r="C7" s="5" t="s">
        <v>6</v>
      </c>
      <c r="D7" s="5" t="s">
        <v>7</v>
      </c>
    </row>
    <row r="8" spans="1:4" x14ac:dyDescent="0.25">
      <c r="A8" s="13" t="s">
        <v>112</v>
      </c>
      <c r="B8" s="14">
        <f>B44</f>
        <v>350</v>
      </c>
      <c r="C8" s="14">
        <f>B77</f>
        <v>308</v>
      </c>
      <c r="D8" s="15">
        <f>IF(C8=0,"",B8/C8-1)</f>
        <v>0.13636363636363646</v>
      </c>
    </row>
    <row r="9" spans="1:4" x14ac:dyDescent="0.25">
      <c r="A9" s="13" t="s">
        <v>113</v>
      </c>
      <c r="B9" s="14">
        <f>C44</f>
        <v>949</v>
      </c>
      <c r="C9" s="14">
        <f>C77</f>
        <v>878</v>
      </c>
      <c r="D9" s="15">
        <f>IF(C9=0,"",B9/C9-1)</f>
        <v>0.0808656036446469</v>
      </c>
    </row>
    <row r="10" spans="1:4" x14ac:dyDescent="0.25">
      <c r="A10" s="13" t="s">
        <v>114</v>
      </c>
      <c r="B10" s="14">
        <f>D44</f>
        <v>1837</v>
      </c>
      <c r="C10" s="14">
        <f>D77</f>
        <v>1718</v>
      </c>
      <c r="D10" s="15">
        <f>IF(C10=0,"",B10/C10-1)</f>
        <v>0.06926658905704297</v>
      </c>
    </row>
    <row r="13" spans="1:1" x14ac:dyDescent="0.25">
      <c r="A13" s="10" t="s">
        <v>39</v>
      </c>
    </row>
    <row r="14" spans="1:4" x14ac:dyDescent="0.25">
      <c r="A14" s="5" t="s">
        <v>40</v>
      </c>
      <c r="B14" s="5" t="s">
        <v>115</v>
      </c>
      <c r="C14" s="5" t="s">
        <v>116</v>
      </c>
      <c r="D14" s="5" t="s">
        <v>117</v>
      </c>
    </row>
    <row r="15" spans="1:4" x14ac:dyDescent="0.25">
      <c r="A15" s="16">
        <v>46261</v>
      </c>
      <c r="B15" s="17">
        <v>309</v>
      </c>
      <c r="C15" s="17">
        <v>880</v>
      </c>
      <c r="D15" s="17">
        <v>1719</v>
      </c>
    </row>
    <row r="16" spans="1:4" x14ac:dyDescent="0.25">
      <c r="A16" s="16">
        <v>46262</v>
      </c>
      <c r="B16" s="17">
        <v>313</v>
      </c>
      <c r="C16" s="17">
        <v>881</v>
      </c>
      <c r="D16" s="17">
        <v>1724</v>
      </c>
    </row>
    <row r="17" spans="1:4" x14ac:dyDescent="0.25">
      <c r="A17" s="16">
        <v>46263</v>
      </c>
      <c r="B17" s="17">
        <v>312</v>
      </c>
      <c r="C17" s="17">
        <v>886</v>
      </c>
      <c r="D17" s="17">
        <v>1734</v>
      </c>
    </row>
    <row r="18" spans="1:4" x14ac:dyDescent="0.25">
      <c r="A18" s="16">
        <v>46264</v>
      </c>
      <c r="B18" s="17">
        <v>314</v>
      </c>
      <c r="C18" s="17">
        <v>890</v>
      </c>
      <c r="D18" s="17">
        <v>1727</v>
      </c>
    </row>
    <row r="19" spans="1:4" x14ac:dyDescent="0.25">
      <c r="A19" s="16">
        <v>46265</v>
      </c>
      <c r="B19" s="17">
        <v>314</v>
      </c>
      <c r="C19" s="17">
        <v>888</v>
      </c>
      <c r="D19" s="17">
        <v>1736</v>
      </c>
    </row>
    <row r="20" spans="1:4" x14ac:dyDescent="0.25">
      <c r="A20" s="16">
        <v>46266</v>
      </c>
      <c r="B20" s="17">
        <v>315</v>
      </c>
      <c r="C20" s="17">
        <v>891</v>
      </c>
      <c r="D20" s="17">
        <v>1736</v>
      </c>
    </row>
    <row r="21" spans="1:4" x14ac:dyDescent="0.25">
      <c r="A21" s="16">
        <v>46267</v>
      </c>
      <c r="B21" s="17">
        <v>318</v>
      </c>
      <c r="C21" s="17">
        <v>897</v>
      </c>
      <c r="D21" s="17">
        <v>1740</v>
      </c>
    </row>
    <row r="22" spans="1:4" x14ac:dyDescent="0.25">
      <c r="A22" s="16">
        <v>46268</v>
      </c>
      <c r="B22" s="17">
        <v>319</v>
      </c>
      <c r="C22" s="17">
        <v>894</v>
      </c>
      <c r="D22" s="17">
        <v>1745</v>
      </c>
    </row>
    <row r="23" spans="1:4" x14ac:dyDescent="0.25">
      <c r="A23" s="16">
        <v>46269</v>
      </c>
      <c r="B23" s="17">
        <v>320</v>
      </c>
      <c r="C23" s="17">
        <v>900</v>
      </c>
      <c r="D23" s="17">
        <v>1751</v>
      </c>
    </row>
    <row r="24" spans="1:4" x14ac:dyDescent="0.25">
      <c r="A24" s="16">
        <v>46270</v>
      </c>
      <c r="B24" s="17">
        <v>322</v>
      </c>
      <c r="C24" s="17">
        <v>900</v>
      </c>
      <c r="D24" s="17">
        <v>1753</v>
      </c>
    </row>
    <row r="25" spans="1:4" x14ac:dyDescent="0.25">
      <c r="A25" s="16">
        <v>46271</v>
      </c>
      <c r="B25" s="17">
        <v>322</v>
      </c>
      <c r="C25" s="17">
        <v>900</v>
      </c>
      <c r="D25" s="17">
        <v>1756</v>
      </c>
    </row>
    <row r="26" spans="1:4" x14ac:dyDescent="0.25">
      <c r="A26" s="16">
        <v>46272</v>
      </c>
      <c r="B26" s="17">
        <v>327</v>
      </c>
      <c r="C26" s="17">
        <v>908</v>
      </c>
      <c r="D26" s="17">
        <v>1772</v>
      </c>
    </row>
    <row r="27" spans="1:4" x14ac:dyDescent="0.25">
      <c r="A27" s="16">
        <v>46273</v>
      </c>
      <c r="B27" s="17">
        <v>327</v>
      </c>
      <c r="C27" s="17">
        <v>908</v>
      </c>
      <c r="D27" s="17">
        <v>1765</v>
      </c>
    </row>
    <row r="28" spans="1:4" x14ac:dyDescent="0.25">
      <c r="A28" s="16">
        <v>46274</v>
      </c>
      <c r="B28" s="17">
        <v>326</v>
      </c>
      <c r="C28" s="17">
        <v>913</v>
      </c>
      <c r="D28" s="17">
        <v>1773</v>
      </c>
    </row>
    <row r="29" spans="1:4" x14ac:dyDescent="0.25">
      <c r="A29" s="16">
        <v>46275</v>
      </c>
      <c r="B29" s="17">
        <v>328</v>
      </c>
      <c r="C29" s="17">
        <v>913</v>
      </c>
      <c r="D29" s="17">
        <v>1783</v>
      </c>
    </row>
    <row r="30" spans="1:4" x14ac:dyDescent="0.25">
      <c r="A30" s="16">
        <v>46276</v>
      </c>
      <c r="B30" s="17">
        <v>330</v>
      </c>
      <c r="C30" s="17">
        <v>912</v>
      </c>
      <c r="D30" s="17">
        <v>1788</v>
      </c>
    </row>
    <row r="31" spans="1:4" x14ac:dyDescent="0.25">
      <c r="A31" s="16">
        <v>46277</v>
      </c>
      <c r="B31" s="17">
        <v>334</v>
      </c>
      <c r="C31" s="17">
        <v>914</v>
      </c>
      <c r="D31" s="17">
        <v>1793</v>
      </c>
    </row>
    <row r="32" spans="1:4" x14ac:dyDescent="0.25">
      <c r="A32" s="16">
        <v>46278</v>
      </c>
      <c r="B32" s="17">
        <v>332</v>
      </c>
      <c r="C32" s="17">
        <v>921</v>
      </c>
      <c r="D32" s="17">
        <v>1797</v>
      </c>
    </row>
    <row r="33" spans="1:4" x14ac:dyDescent="0.25">
      <c r="A33" s="16">
        <v>46279</v>
      </c>
      <c r="B33" s="17">
        <v>336</v>
      </c>
      <c r="C33" s="17">
        <v>923</v>
      </c>
      <c r="D33" s="17">
        <v>1798</v>
      </c>
    </row>
    <row r="34" spans="1:4" x14ac:dyDescent="0.25">
      <c r="A34" s="16">
        <v>46280</v>
      </c>
      <c r="B34" s="17">
        <v>335</v>
      </c>
      <c r="C34" s="17">
        <v>924</v>
      </c>
      <c r="D34" s="17">
        <v>1798</v>
      </c>
    </row>
    <row r="35" spans="1:4" x14ac:dyDescent="0.25">
      <c r="A35" s="16">
        <v>46281</v>
      </c>
      <c r="B35" s="17">
        <v>337</v>
      </c>
      <c r="C35" s="17">
        <v>925</v>
      </c>
      <c r="D35" s="17">
        <v>1805</v>
      </c>
    </row>
    <row r="36" spans="1:4" x14ac:dyDescent="0.25">
      <c r="A36" s="16">
        <v>46282</v>
      </c>
      <c r="B36" s="17">
        <v>340</v>
      </c>
      <c r="C36" s="17">
        <v>929</v>
      </c>
      <c r="D36" s="17">
        <v>1805</v>
      </c>
    </row>
    <row r="37" spans="1:4" x14ac:dyDescent="0.25">
      <c r="A37" s="16">
        <v>46283</v>
      </c>
      <c r="B37" s="17">
        <v>339</v>
      </c>
      <c r="C37" s="17">
        <v>929</v>
      </c>
      <c r="D37" s="17">
        <v>1816</v>
      </c>
    </row>
    <row r="38" spans="1:4" x14ac:dyDescent="0.25">
      <c r="A38" s="16">
        <v>46284</v>
      </c>
      <c r="B38" s="17">
        <v>344</v>
      </c>
      <c r="C38" s="17">
        <v>932</v>
      </c>
      <c r="D38" s="17">
        <v>1819</v>
      </c>
    </row>
    <row r="39" spans="1:4" x14ac:dyDescent="0.25">
      <c r="A39" s="16">
        <v>46285</v>
      </c>
      <c r="B39" s="17">
        <v>343</v>
      </c>
      <c r="C39" s="17">
        <v>934</v>
      </c>
      <c r="D39" s="17">
        <v>1823</v>
      </c>
    </row>
    <row r="40" spans="1:4" x14ac:dyDescent="0.25">
      <c r="A40" s="16">
        <v>46286</v>
      </c>
      <c r="B40" s="17">
        <v>344</v>
      </c>
      <c r="C40" s="17">
        <v>940</v>
      </c>
      <c r="D40" s="17">
        <v>1820</v>
      </c>
    </row>
    <row r="41" spans="1:4" x14ac:dyDescent="0.25">
      <c r="A41" s="16">
        <v>46287</v>
      </c>
      <c r="B41" s="17">
        <v>347</v>
      </c>
      <c r="C41" s="17">
        <v>941</v>
      </c>
      <c r="D41" s="17">
        <v>1828</v>
      </c>
    </row>
    <row r="42" spans="1:4" x14ac:dyDescent="0.25">
      <c r="A42" s="16">
        <v>46288</v>
      </c>
      <c r="B42" s="17">
        <v>349</v>
      </c>
      <c r="C42" s="17">
        <v>941</v>
      </c>
      <c r="D42" s="17">
        <v>1829</v>
      </c>
    </row>
    <row r="43" spans="1:4" x14ac:dyDescent="0.25">
      <c r="A43" s="16">
        <v>46289</v>
      </c>
      <c r="B43" s="17">
        <v>350</v>
      </c>
      <c r="C43" s="17">
        <v>945</v>
      </c>
      <c r="D43" s="17">
        <v>1841</v>
      </c>
    </row>
    <row r="44" spans="1:4" x14ac:dyDescent="0.25">
      <c r="A44" s="16">
        <v>46290</v>
      </c>
      <c r="B44" s="17">
        <v>350</v>
      </c>
      <c r="C44" s="17">
        <v>949</v>
      </c>
      <c r="D44" s="17">
        <v>1837</v>
      </c>
    </row>
    <row r="46" spans="1:1" x14ac:dyDescent="0.25">
      <c r="A46" s="10" t="s">
        <v>41</v>
      </c>
    </row>
    <row r="47" spans="1:4" x14ac:dyDescent="0.25">
      <c r="A47" s="5" t="s">
        <v>40</v>
      </c>
      <c r="B47" s="5" t="s">
        <v>115</v>
      </c>
      <c r="C47" s="5" t="s">
        <v>116</v>
      </c>
      <c r="D47" s="5" t="s">
        <v>117</v>
      </c>
    </row>
    <row r="48" spans="1:4" x14ac:dyDescent="0.25">
      <c r="A48" s="16">
        <v>46231</v>
      </c>
      <c r="B48" s="17">
        <v>270</v>
      </c>
      <c r="C48" s="17">
        <v>810</v>
      </c>
      <c r="D48" s="17">
        <v>1592</v>
      </c>
    </row>
    <row r="49" spans="1:4" x14ac:dyDescent="0.25">
      <c r="A49" s="16">
        <v>46232</v>
      </c>
      <c r="B49" s="17">
        <v>269</v>
      </c>
      <c r="C49" s="17">
        <v>812</v>
      </c>
      <c r="D49" s="17">
        <v>1604</v>
      </c>
    </row>
    <row r="50" spans="1:4" x14ac:dyDescent="0.25">
      <c r="A50" s="16">
        <v>46233</v>
      </c>
      <c r="B50" s="17">
        <v>271</v>
      </c>
      <c r="C50" s="17">
        <v>813</v>
      </c>
      <c r="D50" s="17">
        <v>1605</v>
      </c>
    </row>
    <row r="51" spans="1:4" x14ac:dyDescent="0.25">
      <c r="A51" s="16">
        <v>46234</v>
      </c>
      <c r="B51" s="17">
        <v>274</v>
      </c>
      <c r="C51" s="17">
        <v>816</v>
      </c>
      <c r="D51" s="17">
        <v>1610</v>
      </c>
    </row>
    <row r="52" spans="1:4" x14ac:dyDescent="0.25">
      <c r="A52" s="16">
        <v>46235</v>
      </c>
      <c r="B52" s="17">
        <v>275</v>
      </c>
      <c r="C52" s="17">
        <v>820</v>
      </c>
      <c r="D52" s="17">
        <v>1612</v>
      </c>
    </row>
    <row r="53" spans="1:4" x14ac:dyDescent="0.25">
      <c r="A53" s="16">
        <v>46236</v>
      </c>
      <c r="B53" s="17">
        <v>276</v>
      </c>
      <c r="C53" s="17">
        <v>819</v>
      </c>
      <c r="D53" s="17">
        <v>1614</v>
      </c>
    </row>
    <row r="54" spans="1:4" x14ac:dyDescent="0.25">
      <c r="A54" s="16">
        <v>46237</v>
      </c>
      <c r="B54" s="17">
        <v>276</v>
      </c>
      <c r="C54" s="17">
        <v>825</v>
      </c>
      <c r="D54" s="17">
        <v>1613</v>
      </c>
    </row>
    <row r="55" spans="1:4" x14ac:dyDescent="0.25">
      <c r="A55" s="16">
        <v>46238</v>
      </c>
      <c r="B55" s="17">
        <v>276</v>
      </c>
      <c r="C55" s="17">
        <v>830</v>
      </c>
      <c r="D55" s="17">
        <v>1622</v>
      </c>
    </row>
    <row r="56" spans="1:4" x14ac:dyDescent="0.25">
      <c r="A56" s="16">
        <v>46239</v>
      </c>
      <c r="B56" s="17">
        <v>280</v>
      </c>
      <c r="C56" s="17">
        <v>830</v>
      </c>
      <c r="D56" s="17">
        <v>1623</v>
      </c>
    </row>
    <row r="57" spans="1:4" x14ac:dyDescent="0.25">
      <c r="A57" s="16">
        <v>46240</v>
      </c>
      <c r="B57" s="17">
        <v>279</v>
      </c>
      <c r="C57" s="17">
        <v>831</v>
      </c>
      <c r="D57" s="17">
        <v>1637</v>
      </c>
    </row>
    <row r="58" spans="1:4" x14ac:dyDescent="0.25">
      <c r="A58" s="16">
        <v>46241</v>
      </c>
      <c r="B58" s="17">
        <v>284</v>
      </c>
      <c r="C58" s="17">
        <v>833</v>
      </c>
      <c r="D58" s="17">
        <v>1632</v>
      </c>
    </row>
    <row r="59" spans="1:4" x14ac:dyDescent="0.25">
      <c r="A59" s="16">
        <v>46242</v>
      </c>
      <c r="B59" s="17">
        <v>284</v>
      </c>
      <c r="C59" s="17">
        <v>838</v>
      </c>
      <c r="D59" s="17">
        <v>1645</v>
      </c>
    </row>
    <row r="60" spans="1:4" x14ac:dyDescent="0.25">
      <c r="A60" s="16">
        <v>46243</v>
      </c>
      <c r="B60" s="17">
        <v>286</v>
      </c>
      <c r="C60" s="17">
        <v>841</v>
      </c>
      <c r="D60" s="17">
        <v>1647</v>
      </c>
    </row>
    <row r="61" spans="1:4" x14ac:dyDescent="0.25">
      <c r="A61" s="16">
        <v>46244</v>
      </c>
      <c r="B61" s="17">
        <v>286</v>
      </c>
      <c r="C61" s="17">
        <v>841</v>
      </c>
      <c r="D61" s="17">
        <v>1653</v>
      </c>
    </row>
    <row r="62" spans="1:4" x14ac:dyDescent="0.25">
      <c r="A62" s="16">
        <v>46245</v>
      </c>
      <c r="B62" s="17">
        <v>287</v>
      </c>
      <c r="C62" s="17">
        <v>843</v>
      </c>
      <c r="D62" s="17">
        <v>1648</v>
      </c>
    </row>
    <row r="63" spans="1:4" x14ac:dyDescent="0.25">
      <c r="A63" s="16">
        <v>46246</v>
      </c>
      <c r="B63" s="17">
        <v>287</v>
      </c>
      <c r="C63" s="17">
        <v>844</v>
      </c>
      <c r="D63" s="17">
        <v>1656</v>
      </c>
    </row>
    <row r="64" spans="1:4" x14ac:dyDescent="0.25">
      <c r="A64" s="16">
        <v>46247</v>
      </c>
      <c r="B64" s="17">
        <v>289</v>
      </c>
      <c r="C64" s="17">
        <v>846</v>
      </c>
      <c r="D64" s="17">
        <v>1667</v>
      </c>
    </row>
    <row r="65" spans="1:4" x14ac:dyDescent="0.25">
      <c r="A65" s="16">
        <v>46248</v>
      </c>
      <c r="B65" s="17">
        <v>291</v>
      </c>
      <c r="C65" s="17">
        <v>853</v>
      </c>
      <c r="D65" s="17">
        <v>1659</v>
      </c>
    </row>
    <row r="66" spans="1:4" x14ac:dyDescent="0.25">
      <c r="A66" s="16">
        <v>46249</v>
      </c>
      <c r="B66" s="17">
        <v>292</v>
      </c>
      <c r="C66" s="17">
        <v>853</v>
      </c>
      <c r="D66" s="17">
        <v>1675</v>
      </c>
    </row>
    <row r="67" spans="1:4" x14ac:dyDescent="0.25">
      <c r="A67" s="16">
        <v>46250</v>
      </c>
      <c r="B67" s="17">
        <v>295</v>
      </c>
      <c r="C67" s="17">
        <v>856</v>
      </c>
      <c r="D67" s="17">
        <v>1670</v>
      </c>
    </row>
    <row r="68" spans="1:4" x14ac:dyDescent="0.25">
      <c r="A68" s="16">
        <v>46251</v>
      </c>
      <c r="B68" s="17">
        <v>295</v>
      </c>
      <c r="C68" s="17">
        <v>859</v>
      </c>
      <c r="D68" s="17">
        <v>1680</v>
      </c>
    </row>
    <row r="69" spans="1:4" x14ac:dyDescent="0.25">
      <c r="A69" s="16">
        <v>46252</v>
      </c>
      <c r="B69" s="17">
        <v>298</v>
      </c>
      <c r="C69" s="17">
        <v>856</v>
      </c>
      <c r="D69" s="17">
        <v>1688</v>
      </c>
    </row>
    <row r="70" spans="1:4" x14ac:dyDescent="0.25">
      <c r="A70" s="16">
        <v>46253</v>
      </c>
      <c r="B70" s="17">
        <v>297</v>
      </c>
      <c r="C70" s="17">
        <v>860</v>
      </c>
      <c r="D70" s="17">
        <v>1691</v>
      </c>
    </row>
    <row r="71" spans="1:4" x14ac:dyDescent="0.25">
      <c r="A71" s="16">
        <v>46254</v>
      </c>
      <c r="B71" s="17">
        <v>300</v>
      </c>
      <c r="C71" s="17">
        <v>866</v>
      </c>
      <c r="D71" s="17">
        <v>1692</v>
      </c>
    </row>
    <row r="72" spans="1:4" x14ac:dyDescent="0.25">
      <c r="A72" s="16">
        <v>46255</v>
      </c>
      <c r="B72" s="17">
        <v>301</v>
      </c>
      <c r="C72" s="17">
        <v>868</v>
      </c>
      <c r="D72" s="17">
        <v>1690</v>
      </c>
    </row>
    <row r="73" spans="1:4" x14ac:dyDescent="0.25">
      <c r="A73" s="16">
        <v>46256</v>
      </c>
      <c r="B73" s="17">
        <v>305</v>
      </c>
      <c r="C73" s="17">
        <v>870</v>
      </c>
      <c r="D73" s="17">
        <v>1697</v>
      </c>
    </row>
    <row r="74" spans="1:4" x14ac:dyDescent="0.25">
      <c r="A74" s="16">
        <v>46257</v>
      </c>
      <c r="B74" s="17">
        <v>305</v>
      </c>
      <c r="C74" s="17">
        <v>869</v>
      </c>
      <c r="D74" s="17">
        <v>1707</v>
      </c>
    </row>
    <row r="75" spans="1:4" x14ac:dyDescent="0.25">
      <c r="A75" s="16">
        <v>46258</v>
      </c>
      <c r="B75" s="17">
        <v>306</v>
      </c>
      <c r="C75" s="17">
        <v>870</v>
      </c>
      <c r="D75" s="17">
        <v>1711</v>
      </c>
    </row>
    <row r="76" spans="1:4" x14ac:dyDescent="0.25">
      <c r="A76" s="16">
        <v>46259</v>
      </c>
      <c r="B76" s="17">
        <v>306</v>
      </c>
      <c r="C76" s="17">
        <v>873</v>
      </c>
      <c r="D76" s="17">
        <v>1717</v>
      </c>
    </row>
    <row r="77" spans="1:4" x14ac:dyDescent="0.25">
      <c r="A77" s="16">
        <v>46260</v>
      </c>
      <c r="B77" s="17">
        <v>308</v>
      </c>
      <c r="C77" s="17">
        <v>878</v>
      </c>
      <c r="D77" s="17">
        <v>1718</v>
      </c>
    </row>
    <row r="80" spans="1:2" x14ac:dyDescent="0.25">
      <c r="A80" s="12" t="s">
        <v>118</v>
      </c>
      <c r="B80" s="18">
        <f>AVERAGE(B15:B44)/D44</f>
        <v>0.179568136454364</v>
      </c>
    </row>
    <row r="81" spans="1:2" x14ac:dyDescent="0.25">
      <c r="A81" s="12" t="s">
        <v>119</v>
      </c>
      <c r="B81" s="25">
        <v>0.041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workbookViewId="0" showGridLines="0">
      <pane xSplit="1" ySplit="7" topLeftCell="B8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3" width="20" customWidth="1"/>
  </cols>
  <sheetData>
    <row r="1" spans="1:1" x14ac:dyDescent="0.25">
      <c r="A1" s="1" t="s">
        <v>120</v>
      </c>
    </row>
    <row r="2" spans="1:1" x14ac:dyDescent="0.25">
      <c r="A2" s="2" t="s">
        <v>33</v>
      </c>
    </row>
    <row r="3" spans="1:1" x14ac:dyDescent="0.25">
      <c r="A3" s="3" t="s">
        <v>2</v>
      </c>
    </row>
    <row r="4" spans="1:1" x14ac:dyDescent="0.25">
      <c r="A4" s="4" t="s">
        <v>121</v>
      </c>
    </row>
    <row r="6" spans="1:1" x14ac:dyDescent="0.25">
      <c r="A6" s="10" t="s">
        <v>35</v>
      </c>
    </row>
    <row r="7" spans="1:4" x14ac:dyDescent="0.25">
      <c r="A7" s="5" t="s">
        <v>36</v>
      </c>
      <c r="B7" s="5" t="s">
        <v>5</v>
      </c>
      <c r="C7" s="5" t="s">
        <v>6</v>
      </c>
      <c r="D7" s="5" t="s">
        <v>7</v>
      </c>
    </row>
    <row r="8" spans="1:4" x14ac:dyDescent="0.25">
      <c r="A8" s="13" t="s">
        <v>122</v>
      </c>
      <c r="B8" s="14">
        <f>SUM(B14:B43)</f>
        <v>123</v>
      </c>
      <c r="C8" s="14">
        <f>SUM(B47:B76)</f>
        <v>111</v>
      </c>
      <c r="D8" s="15">
        <f>IF(C8=0,"",B8/C8-1)</f>
        <v>0.10810810810810811</v>
      </c>
    </row>
    <row r="9" spans="1:4" x14ac:dyDescent="0.25">
      <c r="A9" s="13" t="s">
        <v>123</v>
      </c>
      <c r="B9" s="14">
        <f>SUM(C14:C43)</f>
        <v>30</v>
      </c>
      <c r="C9" s="14">
        <f>SUM(C47:C76)</f>
        <v>30</v>
      </c>
      <c r="D9" s="15">
        <f>IF(C9=0,"",B9/C9-1)</f>
        <v>0</v>
      </c>
    </row>
    <row r="12" spans="1:1" x14ac:dyDescent="0.25">
      <c r="A12" s="10" t="s">
        <v>39</v>
      </c>
    </row>
    <row r="13" spans="1:3" x14ac:dyDescent="0.25">
      <c r="A13" s="5" t="s">
        <v>40</v>
      </c>
      <c r="B13" s="5" t="s">
        <v>124</v>
      </c>
      <c r="C13" s="5" t="s">
        <v>125</v>
      </c>
    </row>
    <row r="14" spans="1:3" x14ac:dyDescent="0.25">
      <c r="A14" s="16">
        <v>46261</v>
      </c>
      <c r="B14" s="17">
        <v>4</v>
      </c>
      <c r="C14" s="17">
        <v>1</v>
      </c>
    </row>
    <row r="15" spans="1:3" x14ac:dyDescent="0.25">
      <c r="A15" s="16">
        <v>46262</v>
      </c>
      <c r="B15" s="17">
        <v>5</v>
      </c>
      <c r="C15" s="17">
        <v>1</v>
      </c>
    </row>
    <row r="16" spans="1:3" x14ac:dyDescent="0.25">
      <c r="A16" s="16">
        <v>46263</v>
      </c>
      <c r="B16" s="17">
        <v>5</v>
      </c>
      <c r="C16" s="17">
        <v>1</v>
      </c>
    </row>
    <row r="17" spans="1:3" x14ac:dyDescent="0.25">
      <c r="A17" s="16">
        <v>46264</v>
      </c>
      <c r="B17" s="17">
        <v>4</v>
      </c>
      <c r="C17" s="17">
        <v>1</v>
      </c>
    </row>
    <row r="18" spans="1:3" x14ac:dyDescent="0.25">
      <c r="A18" s="16">
        <v>46265</v>
      </c>
      <c r="B18" s="17">
        <v>4</v>
      </c>
      <c r="C18" s="17">
        <v>1</v>
      </c>
    </row>
    <row r="19" spans="1:3" x14ac:dyDescent="0.25">
      <c r="A19" s="16">
        <v>46266</v>
      </c>
      <c r="B19" s="17">
        <v>3</v>
      </c>
      <c r="C19" s="17">
        <v>1</v>
      </c>
    </row>
    <row r="20" spans="1:3" x14ac:dyDescent="0.25">
      <c r="A20" s="16">
        <v>46267</v>
      </c>
      <c r="B20" s="17">
        <v>3</v>
      </c>
      <c r="C20" s="17">
        <v>1</v>
      </c>
    </row>
    <row r="21" spans="1:3" x14ac:dyDescent="0.25">
      <c r="A21" s="16">
        <v>46268</v>
      </c>
      <c r="B21" s="17">
        <v>4</v>
      </c>
      <c r="C21" s="17">
        <v>1</v>
      </c>
    </row>
    <row r="22" spans="1:3" x14ac:dyDescent="0.25">
      <c r="A22" s="16">
        <v>46269</v>
      </c>
      <c r="B22" s="17">
        <v>5</v>
      </c>
      <c r="C22" s="17">
        <v>1</v>
      </c>
    </row>
    <row r="23" spans="1:3" x14ac:dyDescent="0.25">
      <c r="A23" s="16">
        <v>46270</v>
      </c>
      <c r="B23" s="17">
        <v>5</v>
      </c>
      <c r="C23" s="17">
        <v>1</v>
      </c>
    </row>
    <row r="24" spans="1:3" x14ac:dyDescent="0.25">
      <c r="A24" s="16">
        <v>46271</v>
      </c>
      <c r="B24" s="17">
        <v>5</v>
      </c>
      <c r="C24" s="17">
        <v>1</v>
      </c>
    </row>
    <row r="25" spans="1:3" x14ac:dyDescent="0.25">
      <c r="A25" s="16">
        <v>46272</v>
      </c>
      <c r="B25" s="17">
        <v>4</v>
      </c>
      <c r="C25" s="17">
        <v>1</v>
      </c>
    </row>
    <row r="26" spans="1:3" x14ac:dyDescent="0.25">
      <c r="A26" s="16">
        <v>46273</v>
      </c>
      <c r="B26" s="17">
        <v>3</v>
      </c>
      <c r="C26" s="17">
        <v>1</v>
      </c>
    </row>
    <row r="27" spans="1:3" x14ac:dyDescent="0.25">
      <c r="A27" s="16">
        <v>46274</v>
      </c>
      <c r="B27" s="17">
        <v>4</v>
      </c>
      <c r="C27" s="17">
        <v>1</v>
      </c>
    </row>
    <row r="28" spans="1:3" x14ac:dyDescent="0.25">
      <c r="A28" s="16">
        <v>46275</v>
      </c>
      <c r="B28" s="17">
        <v>4</v>
      </c>
      <c r="C28" s="17">
        <v>1</v>
      </c>
    </row>
    <row r="29" spans="1:3" x14ac:dyDescent="0.25">
      <c r="A29" s="16">
        <v>46276</v>
      </c>
      <c r="B29" s="17">
        <v>5</v>
      </c>
      <c r="C29" s="17">
        <v>1</v>
      </c>
    </row>
    <row r="30" spans="1:3" x14ac:dyDescent="0.25">
      <c r="A30" s="16">
        <v>46277</v>
      </c>
      <c r="B30" s="17">
        <v>5</v>
      </c>
      <c r="C30" s="17">
        <v>1</v>
      </c>
    </row>
    <row r="31" spans="1:3" x14ac:dyDescent="0.25">
      <c r="A31" s="16">
        <v>46278</v>
      </c>
      <c r="B31" s="17">
        <v>5</v>
      </c>
      <c r="C31" s="17">
        <v>1</v>
      </c>
    </row>
    <row r="32" spans="1:3" x14ac:dyDescent="0.25">
      <c r="A32" s="16">
        <v>46279</v>
      </c>
      <c r="B32" s="17">
        <v>4</v>
      </c>
      <c r="C32" s="17">
        <v>1</v>
      </c>
    </row>
    <row r="33" spans="1:3" x14ac:dyDescent="0.25">
      <c r="A33" s="16">
        <v>46280</v>
      </c>
      <c r="B33" s="17">
        <v>3</v>
      </c>
      <c r="C33" s="17">
        <v>1</v>
      </c>
    </row>
    <row r="34" spans="1:3" x14ac:dyDescent="0.25">
      <c r="A34" s="16">
        <v>46281</v>
      </c>
      <c r="B34" s="17">
        <v>3</v>
      </c>
      <c r="C34" s="17">
        <v>1</v>
      </c>
    </row>
    <row r="35" spans="1:3" x14ac:dyDescent="0.25">
      <c r="A35" s="16">
        <v>46282</v>
      </c>
      <c r="B35" s="17">
        <v>4</v>
      </c>
      <c r="C35" s="17">
        <v>1</v>
      </c>
    </row>
    <row r="36" spans="1:3" x14ac:dyDescent="0.25">
      <c r="A36" s="16">
        <v>46283</v>
      </c>
      <c r="B36" s="17">
        <v>5</v>
      </c>
      <c r="C36" s="17">
        <v>1</v>
      </c>
    </row>
    <row r="37" spans="1:3" x14ac:dyDescent="0.25">
      <c r="A37" s="16">
        <v>46284</v>
      </c>
      <c r="B37" s="17">
        <v>5</v>
      </c>
      <c r="C37" s="17">
        <v>1</v>
      </c>
    </row>
    <row r="38" spans="1:3" x14ac:dyDescent="0.25">
      <c r="A38" s="16">
        <v>46285</v>
      </c>
      <c r="B38" s="17">
        <v>4</v>
      </c>
      <c r="C38" s="17">
        <v>1</v>
      </c>
    </row>
    <row r="39" spans="1:3" x14ac:dyDescent="0.25">
      <c r="A39" s="16">
        <v>46286</v>
      </c>
      <c r="B39" s="17">
        <v>4</v>
      </c>
      <c r="C39" s="17">
        <v>1</v>
      </c>
    </row>
    <row r="40" spans="1:3" x14ac:dyDescent="0.25">
      <c r="A40" s="16">
        <v>46287</v>
      </c>
      <c r="B40" s="17">
        <v>3</v>
      </c>
      <c r="C40" s="17">
        <v>1</v>
      </c>
    </row>
    <row r="41" spans="1:3" x14ac:dyDescent="0.25">
      <c r="A41" s="16">
        <v>46288</v>
      </c>
      <c r="B41" s="17">
        <v>3</v>
      </c>
      <c r="C41" s="17">
        <v>1</v>
      </c>
    </row>
    <row r="42" spans="1:3" x14ac:dyDescent="0.25">
      <c r="A42" s="16">
        <v>46289</v>
      </c>
      <c r="B42" s="17">
        <v>4</v>
      </c>
      <c r="C42" s="17">
        <v>1</v>
      </c>
    </row>
    <row r="43" spans="1:3" x14ac:dyDescent="0.25">
      <c r="A43" s="16">
        <v>46290</v>
      </c>
      <c r="B43" s="17">
        <v>4</v>
      </c>
      <c r="C43" s="17">
        <v>1</v>
      </c>
    </row>
    <row r="45" spans="1:1" x14ac:dyDescent="0.25">
      <c r="A45" s="10" t="s">
        <v>41</v>
      </c>
    </row>
    <row r="46" spans="1:3" x14ac:dyDescent="0.25">
      <c r="A46" s="5" t="s">
        <v>40</v>
      </c>
      <c r="B46" s="5" t="s">
        <v>124</v>
      </c>
      <c r="C46" s="5" t="s">
        <v>125</v>
      </c>
    </row>
    <row r="47" spans="1:3" x14ac:dyDescent="0.25">
      <c r="A47" s="16">
        <v>46231</v>
      </c>
      <c r="B47" s="17">
        <v>4</v>
      </c>
      <c r="C47" s="17">
        <v>1</v>
      </c>
    </row>
    <row r="48" spans="1:3" x14ac:dyDescent="0.25">
      <c r="A48" s="16">
        <v>46232</v>
      </c>
      <c r="B48" s="17">
        <v>5</v>
      </c>
      <c r="C48" s="17">
        <v>1</v>
      </c>
    </row>
    <row r="49" spans="1:3" x14ac:dyDescent="0.25">
      <c r="A49" s="16">
        <v>46233</v>
      </c>
      <c r="B49" s="17">
        <v>4</v>
      </c>
      <c r="C49" s="17">
        <v>1</v>
      </c>
    </row>
    <row r="50" spans="1:3" x14ac:dyDescent="0.25">
      <c r="A50" s="16">
        <v>46234</v>
      </c>
      <c r="B50" s="17">
        <v>4</v>
      </c>
      <c r="C50" s="17">
        <v>1</v>
      </c>
    </row>
    <row r="51" spans="1:3" x14ac:dyDescent="0.25">
      <c r="A51" s="16">
        <v>46235</v>
      </c>
      <c r="B51" s="17">
        <v>3</v>
      </c>
      <c r="C51" s="17">
        <v>1</v>
      </c>
    </row>
    <row r="52" spans="1:3" x14ac:dyDescent="0.25">
      <c r="A52" s="16">
        <v>46236</v>
      </c>
      <c r="B52" s="17">
        <v>3</v>
      </c>
      <c r="C52" s="17">
        <v>1</v>
      </c>
    </row>
    <row r="53" spans="1:3" x14ac:dyDescent="0.25">
      <c r="A53" s="16">
        <v>46237</v>
      </c>
      <c r="B53" s="17">
        <v>3</v>
      </c>
      <c r="C53" s="17">
        <v>1</v>
      </c>
    </row>
    <row r="54" spans="1:3" x14ac:dyDescent="0.25">
      <c r="A54" s="16">
        <v>46238</v>
      </c>
      <c r="B54" s="17">
        <v>4</v>
      </c>
      <c r="C54" s="17">
        <v>1</v>
      </c>
    </row>
    <row r="55" spans="1:3" x14ac:dyDescent="0.25">
      <c r="A55" s="16">
        <v>46239</v>
      </c>
      <c r="B55" s="17">
        <v>5</v>
      </c>
      <c r="C55" s="17">
        <v>1</v>
      </c>
    </row>
    <row r="56" spans="1:3" x14ac:dyDescent="0.25">
      <c r="A56" s="16">
        <v>46240</v>
      </c>
      <c r="B56" s="17">
        <v>4</v>
      </c>
      <c r="C56" s="17">
        <v>1</v>
      </c>
    </row>
    <row r="57" spans="1:3" x14ac:dyDescent="0.25">
      <c r="A57" s="16">
        <v>46241</v>
      </c>
      <c r="B57" s="17">
        <v>4</v>
      </c>
      <c r="C57" s="17">
        <v>1</v>
      </c>
    </row>
    <row r="58" spans="1:3" x14ac:dyDescent="0.25">
      <c r="A58" s="16">
        <v>46242</v>
      </c>
      <c r="B58" s="17">
        <v>3</v>
      </c>
      <c r="C58" s="17">
        <v>1</v>
      </c>
    </row>
    <row r="59" spans="1:3" x14ac:dyDescent="0.25">
      <c r="A59" s="16">
        <v>46243</v>
      </c>
      <c r="B59" s="17">
        <v>3</v>
      </c>
      <c r="C59" s="17">
        <v>1</v>
      </c>
    </row>
    <row r="60" spans="1:3" x14ac:dyDescent="0.25">
      <c r="A60" s="16">
        <v>46244</v>
      </c>
      <c r="B60" s="17">
        <v>4</v>
      </c>
      <c r="C60" s="17">
        <v>1</v>
      </c>
    </row>
    <row r="61" spans="1:3" x14ac:dyDescent="0.25">
      <c r="A61" s="16">
        <v>46245</v>
      </c>
      <c r="B61" s="17">
        <v>4</v>
      </c>
      <c r="C61" s="17">
        <v>1</v>
      </c>
    </row>
    <row r="62" spans="1:3" x14ac:dyDescent="0.25">
      <c r="A62" s="16">
        <v>46246</v>
      </c>
      <c r="B62" s="17">
        <v>4</v>
      </c>
      <c r="C62" s="17">
        <v>1</v>
      </c>
    </row>
    <row r="63" spans="1:3" x14ac:dyDescent="0.25">
      <c r="A63" s="16">
        <v>46247</v>
      </c>
      <c r="B63" s="17">
        <v>4</v>
      </c>
      <c r="C63" s="17">
        <v>1</v>
      </c>
    </row>
    <row r="64" spans="1:3" x14ac:dyDescent="0.25">
      <c r="A64" s="16">
        <v>46248</v>
      </c>
      <c r="B64" s="17">
        <v>3</v>
      </c>
      <c r="C64" s="17">
        <v>1</v>
      </c>
    </row>
    <row r="65" spans="1:3" x14ac:dyDescent="0.25">
      <c r="A65" s="16">
        <v>46249</v>
      </c>
      <c r="B65" s="17">
        <v>3</v>
      </c>
      <c r="C65" s="17">
        <v>1</v>
      </c>
    </row>
    <row r="66" spans="1:3" x14ac:dyDescent="0.25">
      <c r="A66" s="16">
        <v>46250</v>
      </c>
      <c r="B66" s="17">
        <v>3</v>
      </c>
      <c r="C66" s="17">
        <v>1</v>
      </c>
    </row>
    <row r="67" spans="1:3" x14ac:dyDescent="0.25">
      <c r="A67" s="16">
        <v>46251</v>
      </c>
      <c r="B67" s="17">
        <v>3</v>
      </c>
      <c r="C67" s="17">
        <v>1</v>
      </c>
    </row>
    <row r="68" spans="1:3" x14ac:dyDescent="0.25">
      <c r="A68" s="16">
        <v>46252</v>
      </c>
      <c r="B68" s="17">
        <v>4</v>
      </c>
      <c r="C68" s="17">
        <v>1</v>
      </c>
    </row>
    <row r="69" spans="1:3" x14ac:dyDescent="0.25">
      <c r="A69" s="16">
        <v>46253</v>
      </c>
      <c r="B69" s="17">
        <v>4</v>
      </c>
      <c r="C69" s="17">
        <v>1</v>
      </c>
    </row>
    <row r="70" spans="1:3" x14ac:dyDescent="0.25">
      <c r="A70" s="16">
        <v>46254</v>
      </c>
      <c r="B70" s="17">
        <v>4</v>
      </c>
      <c r="C70" s="17">
        <v>1</v>
      </c>
    </row>
    <row r="71" spans="1:3" x14ac:dyDescent="0.25">
      <c r="A71" s="16">
        <v>46255</v>
      </c>
      <c r="B71" s="17">
        <v>4</v>
      </c>
      <c r="C71" s="17">
        <v>1</v>
      </c>
    </row>
    <row r="72" spans="1:3" x14ac:dyDescent="0.25">
      <c r="A72" s="16">
        <v>46256</v>
      </c>
      <c r="B72" s="17">
        <v>3</v>
      </c>
      <c r="C72" s="17">
        <v>1</v>
      </c>
    </row>
    <row r="73" spans="1:3" x14ac:dyDescent="0.25">
      <c r="A73" s="16">
        <v>46257</v>
      </c>
      <c r="B73" s="17">
        <v>3</v>
      </c>
      <c r="C73" s="17">
        <v>1</v>
      </c>
    </row>
    <row r="74" spans="1:3" x14ac:dyDescent="0.25">
      <c r="A74" s="16">
        <v>46258</v>
      </c>
      <c r="B74" s="17">
        <v>4</v>
      </c>
      <c r="C74" s="17">
        <v>1</v>
      </c>
    </row>
    <row r="75" spans="1:3" x14ac:dyDescent="0.25">
      <c r="A75" s="16">
        <v>46259</v>
      </c>
      <c r="B75" s="17">
        <v>4</v>
      </c>
      <c r="C75" s="17">
        <v>1</v>
      </c>
    </row>
    <row r="76" spans="1:3" x14ac:dyDescent="0.25">
      <c r="A76" s="16">
        <v>46260</v>
      </c>
      <c r="B76" s="17">
        <v>4</v>
      </c>
      <c r="C76" s="17">
        <v>1</v>
      </c>
    </row>
    <row r="79" spans="1:2" x14ac:dyDescent="0.25">
      <c r="A79" s="12" t="s">
        <v>126</v>
      </c>
      <c r="B79" s="29">
        <f>Pengguna!B89/Pengguna!B81</f>
        <v>0.015301902398676593</v>
      </c>
    </row>
    <row r="80" spans="1:2" x14ac:dyDescent="0.25">
      <c r="A80" s="12" t="s">
        <v>127</v>
      </c>
      <c r="B80" s="20">
        <v>7</v>
      </c>
    </row>
    <row r="81" spans="1:2" x14ac:dyDescent="0.25">
      <c r="A81" s="12" t="s">
        <v>128</v>
      </c>
      <c r="B81" s="20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/>
  </sheetViews>
  <sheetFormatPr defaultRowHeight="15" outlineLevelRow="0" outlineLevelCol="0" x14ac:dyDescent="55"/>
  <cols>
    <col min="1" max="1" width="34" customWidth="1"/>
    <col min="2" max="7" width="14" customWidth="1"/>
  </cols>
  <sheetData>
    <row r="1" spans="1:1" x14ac:dyDescent="0.25">
      <c r="A1" s="1" t="s">
        <v>129</v>
      </c>
    </row>
    <row r="2" spans="1:1" x14ac:dyDescent="0.25">
      <c r="A2" s="2" t="s">
        <v>130</v>
      </c>
    </row>
    <row r="3" spans="1:1" x14ac:dyDescent="0.25">
      <c r="A3" s="3" t="s">
        <v>2</v>
      </c>
    </row>
    <row r="5" spans="1:3" x14ac:dyDescent="0.25">
      <c r="A5" s="5" t="s">
        <v>131</v>
      </c>
      <c r="B5" s="5" t="s">
        <v>132</v>
      </c>
      <c r="C5" s="5" t="s">
        <v>133</v>
      </c>
    </row>
    <row r="6" spans="1:3" x14ac:dyDescent="0.25">
      <c r="A6" s="12" t="s">
        <v>134</v>
      </c>
      <c r="B6" s="17">
        <v>1000</v>
      </c>
      <c r="C6" s="18">
        <f>B6/$B$6</f>
        <v>1</v>
      </c>
    </row>
    <row r="7" spans="1:3" x14ac:dyDescent="0.25">
      <c r="A7" s="12" t="s">
        <v>135</v>
      </c>
      <c r="B7" s="17">
        <v>812</v>
      </c>
      <c r="C7" s="18">
        <f>B7/$B$6</f>
        <v>0.812</v>
      </c>
    </row>
    <row r="8" spans="1:3" x14ac:dyDescent="0.25">
      <c r="A8" s="12" t="s">
        <v>136</v>
      </c>
      <c r="B8" s="17">
        <v>574</v>
      </c>
      <c r="C8" s="18">
        <f>B8/$B$6</f>
        <v>0.574</v>
      </c>
    </row>
    <row r="9" spans="1:3" x14ac:dyDescent="0.25">
      <c r="A9" s="12" t="s">
        <v>137</v>
      </c>
      <c r="B9" s="17">
        <v>341</v>
      </c>
      <c r="C9" s="18">
        <f>B9/$B$6</f>
        <v>0.341</v>
      </c>
    </row>
    <row r="10" spans="1:3" x14ac:dyDescent="0.25">
      <c r="A10" s="12" t="s">
        <v>138</v>
      </c>
      <c r="B10" s="17">
        <v>96</v>
      </c>
      <c r="C10" s="18">
        <f>B10/$B$6</f>
        <v>0.096</v>
      </c>
    </row>
    <row r="13" spans="1:7" x14ac:dyDescent="0.25">
      <c r="A13" s="5" t="s">
        <v>139</v>
      </c>
      <c r="B13" s="5" t="s">
        <v>140</v>
      </c>
      <c r="C13" s="5" t="s">
        <v>141</v>
      </c>
      <c r="D13" s="5" t="s">
        <v>142</v>
      </c>
      <c r="E13" s="5" t="s">
        <v>143</v>
      </c>
      <c r="F13" s="5" t="s">
        <v>144</v>
      </c>
      <c r="G13" s="5" t="s">
        <v>145</v>
      </c>
    </row>
    <row r="14" spans="1:7" x14ac:dyDescent="0.25">
      <c r="A14" s="12" t="s">
        <v>146</v>
      </c>
      <c r="B14" s="30">
        <v>1</v>
      </c>
      <c r="C14" s="31">
        <v>0.71</v>
      </c>
      <c r="D14" s="32">
        <v>0.62</v>
      </c>
      <c r="E14" s="33">
        <v>0.55</v>
      </c>
      <c r="F14" s="34">
        <v>0.51</v>
      </c>
      <c r="G14" s="35">
        <v>0.48</v>
      </c>
    </row>
    <row r="15" spans="1:6" x14ac:dyDescent="0.25">
      <c r="A15" s="12" t="s">
        <v>147</v>
      </c>
      <c r="B15" s="30">
        <v>1</v>
      </c>
      <c r="C15" s="36">
        <v>0.74</v>
      </c>
      <c r="D15" s="37">
        <v>0.64</v>
      </c>
      <c r="E15" s="38">
        <v>0.57</v>
      </c>
      <c r="F15" s="39">
        <v>0.52</v>
      </c>
    </row>
    <row r="16" spans="1:5" x14ac:dyDescent="0.25">
      <c r="A16" s="12" t="s">
        <v>148</v>
      </c>
      <c r="B16" s="30">
        <v>1</v>
      </c>
      <c r="C16" s="40">
        <v>0.76</v>
      </c>
      <c r="D16" s="41">
        <v>0.66</v>
      </c>
      <c r="E16" s="42">
        <v>0.59</v>
      </c>
    </row>
    <row r="17" spans="1:4" x14ac:dyDescent="0.25">
      <c r="A17" s="12" t="s">
        <v>149</v>
      </c>
      <c r="B17" s="30">
        <v>1</v>
      </c>
      <c r="C17" s="43">
        <v>0.78</v>
      </c>
      <c r="D17" s="44">
        <v>0.68</v>
      </c>
    </row>
    <row r="18" spans="1:3" x14ac:dyDescent="0.25">
      <c r="A18" s="12" t="s">
        <v>150</v>
      </c>
      <c r="B18" s="30">
        <v>1</v>
      </c>
      <c r="C18" s="45">
        <v>0.8</v>
      </c>
    </row>
    <row r="19" spans="1:2" x14ac:dyDescent="0.25">
      <c r="A19" s="12" t="s">
        <v>151</v>
      </c>
      <c r="B19" s="3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100" customWidth="1"/>
  </cols>
  <sheetData>
    <row r="1" spans="1:1" x14ac:dyDescent="0.25">
      <c r="A1" s="1" t="s">
        <v>152</v>
      </c>
    </row>
    <row r="2" spans="1:1" x14ac:dyDescent="0.25">
      <c r="A2" s="2" t="s">
        <v>153</v>
      </c>
    </row>
    <row r="3" spans="1:1" x14ac:dyDescent="0.25">
      <c r="A3" s="3" t="s">
        <v>2</v>
      </c>
    </row>
    <row r="5" spans="1:2" x14ac:dyDescent="0.25">
      <c r="A5" s="5" t="s">
        <v>154</v>
      </c>
      <c r="B5" s="5" t="s">
        <v>155</v>
      </c>
    </row>
    <row r="6" spans="1:2" x14ac:dyDescent="0.25">
      <c r="A6" s="11" t="s">
        <v>156</v>
      </c>
      <c r="B6" s="46" t="s">
        <v>157</v>
      </c>
    </row>
    <row r="7" spans="1:2" x14ac:dyDescent="0.25">
      <c r="A7" s="11" t="s">
        <v>158</v>
      </c>
      <c r="B7" s="46" t="s">
        <v>159</v>
      </c>
    </row>
    <row r="8" spans="1:2" x14ac:dyDescent="0.25">
      <c r="A8" s="11" t="s">
        <v>160</v>
      </c>
      <c r="B8" s="46" t="s">
        <v>161</v>
      </c>
    </row>
    <row r="9" spans="1:2" x14ac:dyDescent="0.25">
      <c r="A9" s="11" t="s">
        <v>162</v>
      </c>
      <c r="B9" s="46" t="s">
        <v>163</v>
      </c>
    </row>
    <row r="10" spans="1:2" x14ac:dyDescent="0.25">
      <c r="A10" s="11" t="s">
        <v>164</v>
      </c>
      <c r="B10" s="46" t="s">
        <v>165</v>
      </c>
    </row>
    <row r="11" spans="1:2" x14ac:dyDescent="0.25">
      <c r="A11" s="11" t="s">
        <v>166</v>
      </c>
      <c r="B11" s="46" t="s">
        <v>167</v>
      </c>
    </row>
    <row r="12" spans="1:2" x14ac:dyDescent="0.25">
      <c r="A12" s="11" t="s">
        <v>168</v>
      </c>
      <c r="B12" s="46" t="s">
        <v>169</v>
      </c>
    </row>
    <row r="13" spans="1:2" x14ac:dyDescent="0.25">
      <c r="A13" s="11" t="s">
        <v>170</v>
      </c>
      <c r="B13" s="46" t="s">
        <v>171</v>
      </c>
    </row>
    <row r="14" spans="1:2" x14ac:dyDescent="0.25">
      <c r="A14" s="11" t="s">
        <v>172</v>
      </c>
      <c r="B14" s="46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Ringkasan</vt:lpstr>
      <vt:lpstr>Pengguna</vt:lpstr>
      <vt:lpstr>Marketplace</vt:lpstr>
      <vt:lpstr>Organisasi</vt:lpstr>
      <vt:lpstr>Learning</vt:lpstr>
      <vt:lpstr>Komersial</vt:lpstr>
      <vt:lpstr>Aktivitas</vt:lpstr>
      <vt:lpstr>Risiko</vt:lpstr>
      <vt:lpstr>Funnel_Kohort</vt:lpstr>
      <vt:lpstr>Definisi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RumahAgen</dc:creator>
  <dc:title/>
  <dc:subject/>
  <dc:description/>
  <cp:keywords/>
  <cp:category/>
  <cp:lastModifiedBy>Unknown</cp:lastModifiedBy>
  <dcterms:created xsi:type="dcterms:W3CDTF">2026-09-24T05:56:41Z</dcterms:created>
  <dcterms:modified xsi:type="dcterms:W3CDTF">2026-09-24T05:56:41Z</dcterms:modified>
</cp:coreProperties>
</file>